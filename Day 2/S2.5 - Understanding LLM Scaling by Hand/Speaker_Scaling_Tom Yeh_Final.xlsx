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peye9704_colorado_edu/Documents/2024/Talks/7.14-Scaling/"/>
    </mc:Choice>
  </mc:AlternateContent>
  <xr:revisionPtr revIDLastSave="187" documentId="8_{D95A3A02-24C5-234C-989B-09124D5C5BC1}" xr6:coauthVersionLast="47" xr6:coauthVersionMax="47" xr10:uidLastSave="{E87F2CE9-2CCA-CB44-9080-83B260635AA6}"/>
  <bookViews>
    <workbookView xWindow="680" yWindow="740" windowWidth="28040" windowHeight="17260" xr2:uid="{BC6A488E-E33D-154A-8BCA-4F4C9436A3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 a="1"/>
  <c r="I12" i="1" s="1"/>
  <c r="T9" i="1" s="1" a="1"/>
  <c r="T9" i="1" s="1"/>
  <c r="I15" i="1" a="1"/>
  <c r="I15" i="1" s="1"/>
  <c r="T15" i="1" s="1" a="1"/>
  <c r="T15" i="1" s="1"/>
  <c r="I9" i="1" a="1"/>
  <c r="I9" i="1" s="1"/>
  <c r="X5" i="1" s="1" a="1"/>
  <c r="X5" i="1" s="1"/>
  <c r="X9" i="1" l="1" a="1"/>
  <c r="X9" i="1" l="1"/>
  <c r="AC9" i="1" s="1" a="1"/>
  <c r="AC9" i="1" s="1"/>
  <c r="AF9" i="1" a="1"/>
  <c r="AF9" i="1" s="1"/>
  <c r="AE9" i="1" a="1"/>
  <c r="AE9" i="1" s="1"/>
  <c r="AD9" i="1" a="1"/>
  <c r="AD9" i="1" s="1"/>
  <c r="AC15" i="1" l="1" a="1"/>
  <c r="AC15" i="1" s="1"/>
  <c r="A210" i="1" l="1" a="1"/>
  <c r="A210" i="1" s="1"/>
  <c r="A235" i="1" a="1"/>
  <c r="A235" i="1" s="1"/>
  <c r="G257" i="1"/>
  <c r="G244" i="1" a="1"/>
  <c r="G244" i="1" s="1"/>
  <c r="I244" i="1" s="1" a="1"/>
  <c r="G258" i="1"/>
  <c r="E216" i="1" a="1"/>
  <c r="E216" i="1" s="1"/>
  <c r="E222" i="1" a="1"/>
  <c r="E222" i="1" s="1"/>
  <c r="G204" i="1" a="1"/>
  <c r="G204" i="1" s="1"/>
  <c r="F194" i="1" a="1"/>
  <c r="F194" i="1" s="1"/>
  <c r="F191" i="1" a="1"/>
  <c r="F191" i="1" s="1"/>
  <c r="F188" i="1" a="1"/>
  <c r="F188" i="1" s="1"/>
  <c r="F179" i="1" a="1"/>
  <c r="F179" i="1" s="1"/>
  <c r="A173" i="1" a="1"/>
  <c r="A173" i="1" s="1"/>
  <c r="F152" i="1" a="1"/>
  <c r="F152" i="1" s="1"/>
  <c r="F161" i="1" a="1"/>
  <c r="F161" i="1" s="1"/>
  <c r="A139" i="1" a="1"/>
  <c r="A139" i="1" s="1"/>
  <c r="J167" i="1" a="1"/>
  <c r="J167" i="1" s="1"/>
  <c r="H164" i="1" a="1"/>
  <c r="H164" i="1" s="1"/>
  <c r="A114" i="1" a="1"/>
  <c r="A114" i="1" s="1"/>
  <c r="F124" i="1" a="1"/>
  <c r="F124" i="1" s="1"/>
  <c r="F127" i="1" a="1"/>
  <c r="F127" i="1" s="1"/>
  <c r="H130" i="1" s="1"/>
  <c r="V109" i="1" a="1"/>
  <c r="V109" i="1" s="1"/>
  <c r="F105" i="1" a="1"/>
  <c r="F105" i="1" s="1"/>
  <c r="F104" i="1"/>
  <c r="H105" i="1"/>
  <c r="F101" i="1" a="1"/>
  <c r="F101" i="1" s="1"/>
  <c r="A83" i="1" a="1"/>
  <c r="A83" i="1" s="1"/>
  <c r="F48" i="1" a="1"/>
  <c r="F48" i="1" s="1"/>
  <c r="I59" i="1"/>
  <c r="F33" i="1" a="1"/>
  <c r="F33" i="1" s="1"/>
  <c r="H33" i="1" s="1" a="1"/>
  <c r="H33" i="1" s="1"/>
  <c r="J33" i="1" s="1" a="1"/>
  <c r="J33" i="1" s="1"/>
  <c r="L33" i="1" s="1" a="1"/>
  <c r="L33" i="1" s="1"/>
  <c r="N33" i="1" s="1" a="1"/>
  <c r="N33" i="1" s="1"/>
  <c r="P33" i="1" s="1" a="1"/>
  <c r="P33" i="1" s="1"/>
  <c r="F73" i="1" a="1"/>
  <c r="F73" i="1" s="1"/>
  <c r="J76" i="1" a="1"/>
  <c r="J76" i="1" s="1"/>
  <c r="H71" i="1"/>
  <c r="L71" i="1" s="1"/>
  <c r="F29" i="1"/>
  <c r="H29" i="1" s="1"/>
  <c r="J29" i="1" s="1"/>
  <c r="L29" i="1" s="1"/>
  <c r="N29" i="1" s="1"/>
  <c r="P29" i="1" s="1"/>
  <c r="E61" i="1" a="1"/>
  <c r="E61" i="1" s="1"/>
  <c r="I61" i="1" s="1" a="1"/>
  <c r="I61" i="1" s="1"/>
  <c r="G228" i="1" l="1"/>
  <c r="I244" i="1"/>
  <c r="K244" i="1" s="1" a="1"/>
  <c r="K244" i="1" s="1"/>
  <c r="K263" i="1"/>
  <c r="K262" i="1"/>
  <c r="K264" i="1"/>
  <c r="I261" i="1"/>
  <c r="I259" i="1"/>
  <c r="I260" i="1"/>
  <c r="G256" i="1"/>
  <c r="G216" i="1" a="1"/>
  <c r="G216" i="1" s="1"/>
  <c r="H152" i="1" a="1"/>
  <c r="H152" i="1" s="1"/>
  <c r="J152" i="1" s="1" a="1"/>
  <c r="J152" i="1" s="1"/>
  <c r="H124" i="1" a="1"/>
  <c r="H124" i="1" s="1"/>
  <c r="J124" i="1" s="1" a="1"/>
  <c r="J124" i="1" s="1"/>
  <c r="H101" i="1" a="1"/>
  <c r="H101" i="1" s="1"/>
  <c r="J101" i="1" s="1" a="1"/>
  <c r="J101" i="1" s="1"/>
  <c r="H106" i="1"/>
  <c r="X110" i="1"/>
  <c r="D73" i="1" a="1"/>
  <c r="I229" i="1" l="1"/>
  <c r="I216" i="1" a="1"/>
  <c r="I216" i="1" s="1"/>
  <c r="J106" i="1"/>
  <c r="L101" i="1" s="1" a="1"/>
  <c r="L101" i="1" s="1"/>
  <c r="N101" i="1" s="1" a="1"/>
  <c r="N101" i="1" s="1"/>
  <c r="P101" i="1" s="1" a="1"/>
  <c r="P101" i="1" s="1"/>
  <c r="R101" i="1" s="1" a="1"/>
  <c r="R101" i="1" s="1"/>
  <c r="J131" i="1" a="1"/>
  <c r="J131" i="1" s="1"/>
  <c r="D73" i="1"/>
  <c r="H73" i="1" s="1" a="1"/>
  <c r="H73" i="1" s="1"/>
  <c r="L73" i="1" s="1" a="1"/>
  <c r="L73" i="1" s="1"/>
  <c r="H76" i="1" a="1"/>
  <c r="H76" i="1" s="1"/>
  <c r="L76" i="1" s="1" a="1"/>
  <c r="L76" i="1" s="1"/>
  <c r="K216" i="1" l="1" a="1"/>
  <c r="K216" i="1" s="1"/>
  <c r="K230" i="1"/>
  <c r="N107" i="1"/>
  <c r="P107" i="1" s="1"/>
  <c r="R107" i="1" s="1"/>
  <c r="T101" i="1" s="1" a="1"/>
  <c r="T101" i="1" l="1"/>
  <c r="V101" i="1" s="1" a="1"/>
  <c r="V101" i="1" s="1"/>
  <c r="X109" i="1"/>
  <c r="Z110" i="1"/>
  <c r="V108" i="1"/>
  <c r="X101" i="1" l="1" a="1"/>
  <c r="X101" i="1" s="1"/>
  <c r="Z101" i="1" s="1" a="1"/>
  <c r="Z10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<sst xmlns="http://schemas.openxmlformats.org/spreadsheetml/2006/main" count="168" uniqueCount="111">
  <si>
    <t>i</t>
  </si>
  <si>
    <t>X</t>
  </si>
  <si>
    <t>C</t>
  </si>
  <si>
    <t>Six Threads on Three Cores</t>
  </si>
  <si>
    <t>Six Threads on Six Cores</t>
  </si>
  <si>
    <t>C0</t>
  </si>
  <si>
    <t>T0</t>
  </si>
  <si>
    <t>T1</t>
  </si>
  <si>
    <t>T2</t>
  </si>
  <si>
    <t>T3</t>
  </si>
  <si>
    <t>T4</t>
  </si>
  <si>
    <t>T5</t>
  </si>
  <si>
    <t>C1</t>
  </si>
  <si>
    <t>C2</t>
  </si>
  <si>
    <t>K</t>
  </si>
  <si>
    <t>C3</t>
  </si>
  <si>
    <t>C4</t>
  </si>
  <si>
    <t>C5</t>
  </si>
  <si>
    <t>For Loop</t>
  </si>
  <si>
    <t>for i in range(len(X)):</t>
  </si>
  <si>
    <t>X[i] += K</t>
  </si>
  <si>
    <t>Time</t>
  </si>
  <si>
    <t>Vectorization</t>
  </si>
  <si>
    <t>X = X + K</t>
  </si>
  <si>
    <t>B</t>
  </si>
  <si>
    <t># Step 2: compute sum of exponentials</t>
  </si>
  <si>
    <t>sum_exp = 0.0</t>
  </si>
  <si>
    <t># Step 3: divide each exp by the sum</t>
  </si>
  <si>
    <t>softmax = torch.empty_like(x)</t>
  </si>
  <si>
    <t>exp_vals</t>
  </si>
  <si>
    <t>exp_vals[i] = torch.exp(x[i])</t>
  </si>
  <si>
    <t>sum_exp</t>
  </si>
  <si>
    <t>Step</t>
  </si>
  <si>
    <t>softmax</t>
  </si>
  <si>
    <t>Softmax</t>
  </si>
  <si>
    <t>Vectorized Softmax</t>
  </si>
  <si>
    <t>sum_exp += exp_vals[i]</t>
  </si>
  <si>
    <t>softmax[i] = exp_vals[i] / sum_exp</t>
  </si>
  <si>
    <t># Step 1: compute exp(x_i) for each element</t>
  </si>
  <si>
    <t>sum_exp = exp_vals.sum()</t>
  </si>
  <si>
    <t>softmax = exp_vals / sum_exp</t>
  </si>
  <si>
    <t>exp_vals = torch.exp(x)</t>
  </si>
  <si>
    <r>
      <rPr>
        <sz val="12"/>
        <color rgb="FFA626A4"/>
        <rFont val="Consolas"/>
        <family val="2"/>
      </rPr>
      <t>return</t>
    </r>
    <r>
      <rPr>
        <sz val="12"/>
        <color theme="1"/>
        <rFont val="Consolas"/>
        <family val="2"/>
      </rPr>
      <t xml:space="preserve"> exp_vals / sum_exp</t>
    </r>
  </si>
  <si>
    <r>
      <rPr>
        <sz val="12"/>
        <color rgb="FFA626A4"/>
        <rFont val="Consolas"/>
        <family val="2"/>
      </rPr>
      <t>def</t>
    </r>
    <r>
      <rPr>
        <sz val="12"/>
        <color theme="1"/>
        <rFont val="Consolas"/>
        <family val="2"/>
      </rPr>
      <t xml:space="preserve"> </t>
    </r>
    <r>
      <rPr>
        <sz val="12"/>
        <color rgb="FF4078F2"/>
        <rFont val="Consolas"/>
        <family val="2"/>
      </rPr>
      <t>softmax</t>
    </r>
    <r>
      <rPr>
        <sz val="12"/>
        <color theme="1"/>
        <rFont val="Consolas"/>
        <family val="2"/>
      </rPr>
      <t>(x):</t>
    </r>
  </si>
  <si>
    <t>batch_result = []</t>
  </si>
  <si>
    <t>softmax_i = loop_softmax(X_batch[i])</t>
  </si>
  <si>
    <t>batch_result.append(softmax_i)</t>
  </si>
  <si>
    <t>X_batch</t>
  </si>
  <si>
    <r>
      <rPr>
        <sz val="12"/>
        <color rgb="FFA626A4"/>
        <rFont val="Consolas"/>
        <family val="2"/>
      </rPr>
      <t>for</t>
    </r>
    <r>
      <rPr>
        <sz val="12"/>
        <color theme="1"/>
        <rFont val="Consolas"/>
        <family val="2"/>
      </rPr>
      <t xml:space="preserve"> i </t>
    </r>
    <r>
      <rPr>
        <sz val="12"/>
        <color rgb="FFA626A4"/>
        <rFont val="Consolas"/>
        <family val="2"/>
      </rPr>
      <t>in</t>
    </r>
    <r>
      <rPr>
        <sz val="12"/>
        <color theme="1"/>
        <rFont val="Consolas"/>
        <family val="2"/>
      </rPr>
      <t xml:space="preserve"> range(batch_size):</t>
    </r>
  </si>
  <si>
    <t>batch_result</t>
  </si>
  <si>
    <t>Vectorized Softmax Over a Batch</t>
  </si>
  <si>
    <t>Vectorized Map</t>
  </si>
  <si>
    <t>vmap_output = jax.vmap(softmax)(X_batch)</t>
  </si>
  <si>
    <t>c0</t>
  </si>
  <si>
    <t>c1</t>
  </si>
  <si>
    <t>c2</t>
  </si>
  <si>
    <t>c3</t>
  </si>
  <si>
    <t>c4</t>
  </si>
  <si>
    <t>c5</t>
  </si>
  <si>
    <t>c6</t>
  </si>
  <si>
    <t>c7</t>
  </si>
  <si>
    <t>c8</t>
  </si>
  <si>
    <r>
      <rPr>
        <sz val="12"/>
        <color rgb="FFA626A4"/>
        <rFont val="Consolas"/>
        <family val="2"/>
      </rPr>
      <t>import</t>
    </r>
    <r>
      <rPr>
        <sz val="12"/>
        <color theme="1"/>
        <rFont val="Consolas"/>
        <family val="2"/>
      </rPr>
      <t xml:space="preserve"> jax</t>
    </r>
  </si>
  <si>
    <r>
      <rPr>
        <sz val="12"/>
        <color rgb="FFA626A4"/>
        <rFont val="Consolas"/>
        <family val="2"/>
      </rPr>
      <t>for</t>
    </r>
    <r>
      <rPr>
        <sz val="12"/>
        <color theme="1"/>
        <rFont val="Consolas"/>
        <family val="2"/>
      </rPr>
      <t xml:space="preserve"> i </t>
    </r>
    <r>
      <rPr>
        <sz val="12"/>
        <color rgb="FFA626A4"/>
        <rFont val="Consolas"/>
        <family val="2"/>
      </rPr>
      <t>in</t>
    </r>
    <r>
      <rPr>
        <sz val="12"/>
        <color theme="1"/>
        <rFont val="Consolas"/>
        <family val="2"/>
      </rPr>
      <t xml:space="preserve"> range(len(exp_vals)):</t>
    </r>
  </si>
  <si>
    <r>
      <rPr>
        <sz val="12"/>
        <color rgb="FFA626A4"/>
        <rFont val="Consolas"/>
        <family val="2"/>
      </rPr>
      <t>for</t>
    </r>
    <r>
      <rPr>
        <sz val="12"/>
        <color theme="1"/>
        <rFont val="Consolas"/>
        <family val="2"/>
      </rPr>
      <t xml:space="preserve"> i </t>
    </r>
    <r>
      <rPr>
        <sz val="12"/>
        <color rgb="FFA626A4"/>
        <rFont val="Consolas"/>
        <family val="2"/>
      </rPr>
      <t>in</t>
    </r>
    <r>
      <rPr>
        <sz val="12"/>
        <color theme="1"/>
        <rFont val="Consolas"/>
        <family val="2"/>
      </rPr>
      <t xml:space="preserve"> range(len(x)):</t>
    </r>
  </si>
  <si>
    <t>A</t>
  </si>
  <si>
    <t>A1</t>
  </si>
  <si>
    <t>A0</t>
  </si>
  <si>
    <t>A2</t>
  </si>
  <si>
    <t>B0</t>
  </si>
  <si>
    <t>B1</t>
  </si>
  <si>
    <t>B2</t>
  </si>
  <si>
    <t># Single-row matmul</t>
  </si>
  <si>
    <t># Vectorize over rows</t>
  </si>
  <si>
    <t xml:space="preserve">batched_matmul = jax.vmap(matmul_row) </t>
  </si>
  <si>
    <t>def matmul_row(x_row):</t>
  </si>
  <si>
    <t>Matmul by Vectorized Map</t>
  </si>
  <si>
    <t>for i in range(A.shape[0]):</t>
  </si>
  <si>
    <t xml:space="preserve">    for j in range(B.shape[1]):</t>
  </si>
  <si>
    <t xml:space="preserve">        C[i, j] = dot(A[i], B[:, j])</t>
  </si>
  <si>
    <t>Matmul via Vectorized Dot Products</t>
  </si>
  <si>
    <t>Self Attention</t>
  </si>
  <si>
    <t>Q</t>
  </si>
  <si>
    <t>q1</t>
  </si>
  <si>
    <t>q2</t>
  </si>
  <si>
    <t>q3</t>
  </si>
  <si>
    <t>q4</t>
  </si>
  <si>
    <t>k1</t>
  </si>
  <si>
    <t>k2</t>
  </si>
  <si>
    <t>k3</t>
  </si>
  <si>
    <t>k4</t>
  </si>
  <si>
    <t>v1</t>
  </si>
  <si>
    <t>v2</t>
  </si>
  <si>
    <t>v3</t>
  </si>
  <si>
    <t>v4</t>
  </si>
  <si>
    <t>V</t>
  </si>
  <si>
    <t>x1'</t>
  </si>
  <si>
    <t>x2'</t>
  </si>
  <si>
    <t>x3'</t>
  </si>
  <si>
    <t>x4'</t>
  </si>
  <si>
    <t>x1</t>
  </si>
  <si>
    <t>x2</t>
  </si>
  <si>
    <t>x3</t>
  </si>
  <si>
    <t>x4</t>
  </si>
  <si>
    <t>Wq</t>
  </si>
  <si>
    <t>Wk</t>
  </si>
  <si>
    <t>Wv</t>
  </si>
  <si>
    <t>V•A</t>
  </si>
  <si>
    <t>A = Softmax(S)</t>
  </si>
  <si>
    <t>S = K^T • Q/sqrt(dk)</t>
  </si>
  <si>
    <t xml:space="preserve">    return dot(A_row, 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</si>
</sst>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6"/>
      <color theme="0"/>
      <name val="Aptos Narrow"/>
      <scheme val="minor"/>
    </font>
    <font>
      <sz val="12"/>
      <color theme="1"/>
      <name val="Consolas"/>
      <family val="2"/>
    </font>
    <font>
      <sz val="12"/>
      <color rgb="FF000000"/>
      <name val="Aptos Narrow"/>
      <family val="2"/>
      <scheme val="minor"/>
    </font>
    <font>
      <sz val="12"/>
      <color theme="4"/>
      <name val="Consolas"/>
      <family val="2"/>
    </font>
    <font>
      <sz val="12"/>
      <color rgb="FFA626A4"/>
      <name val="Consolas"/>
      <family val="2"/>
    </font>
    <font>
      <sz val="12"/>
      <color rgb="FF4078F2"/>
      <name val="Consolas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center"/>
    </xf>
    <xf numFmtId="0" fontId="2" fillId="0" borderId="0" xfId="0" applyFont="1" applyAlignment="1"/>
    <xf numFmtId="0" fontId="2" fillId="0" borderId="0" xfId="0" applyFont="1"/>
    <xf numFmtId="0" fontId="3" fillId="0" borderId="0" xfId="0" applyFont="1"/>
    <xf numFmtId="0" fontId="0" fillId="3" borderId="0" xfId="0" applyFill="1" applyAlignment="1">
      <alignment horizontal="center"/>
    </xf>
    <xf numFmtId="0" fontId="4" fillId="0" borderId="0" xfId="0" applyFont="1"/>
    <xf numFmtId="0" fontId="0" fillId="4" borderId="0" xfId="0" applyFill="1"/>
    <xf numFmtId="0" fontId="3" fillId="4" borderId="0" xfId="0" applyFont="1" applyFill="1"/>
    <xf numFmtId="0" fontId="0" fillId="0" borderId="0" xfId="0" applyFill="1"/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3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626A4"/>
      <color rgb="FF4078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238126</xdr:colOff>
      <xdr:row>13</xdr:row>
      <xdr:rowOff>52917</xdr:rowOff>
    </xdr:from>
    <xdr:to>
      <xdr:col>32</xdr:col>
      <xdr:colOff>145521</xdr:colOff>
      <xdr:row>18</xdr:row>
      <xdr:rowOff>119063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873394-8784-6A41-8B1F-75D283E58AF2}"/>
            </a:ext>
          </a:extLst>
        </xdr:cNvPr>
        <xdr:cNvSpPr/>
      </xdr:nvSpPr>
      <xdr:spPr>
        <a:xfrm>
          <a:off x="28965526" y="72290517"/>
          <a:ext cx="1748895" cy="1590146"/>
        </a:xfrm>
        <a:prstGeom prst="rect">
          <a:avLst/>
        </a:prstGeom>
        <a:noFill/>
        <a:ln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85A0B27-0064-D948-A782-76ABDDE5571B}">
  <we:reference id="0986d9dd-94f1-4b67-978d-c4cf6e6142a8" version="25.0.2.0" store="EXCatalog" storeType="EXCatalog"/>
  <we:alternateReferences>
    <we:reference id="WA200000018" version="25.0.2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PSIMETALOG2</we:customFunctionIds>
        <we:customFunctionIds>PSIMETALOGSPT</we:customFunctionIds>
        <we:customFunctionIds>PSIMETALOGFIT</we:customFunctionIds>
        <we:customFunctionIds>PSIMETALOG2FIT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PSILEVYALT</we:customFunctionIds>
        <we:customFunctionIds>PSIHYPSECANTALT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69EFD184-1440-B644-8B20-22A7BE615C63}">
  <we:reference id="wa200002346" version="1.1.0.0" store="en-US" storeType="OMEX"/>
  <we:alternateReferences>
    <we:reference id="WA200002346" version="1.1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C1FDF-51D9-ED4E-86DF-BD826B13622E}">
  <dimension ref="A1:AF264"/>
  <sheetViews>
    <sheetView tabSelected="1" topLeftCell="A231" zoomScaleNormal="100" workbookViewId="0">
      <selection activeCell="B238" sqref="B238"/>
    </sheetView>
  </sheetViews>
  <sheetFormatPr baseColWidth="10" defaultColWidth="4.83203125" defaultRowHeight="24" customHeight="1" x14ac:dyDescent="0.2"/>
  <cols>
    <col min="11" max="11" width="4.83203125" customWidth="1"/>
    <col min="16" max="16" width="4.83203125" customWidth="1"/>
    <col min="19" max="19" width="4.83203125" customWidth="1"/>
  </cols>
  <sheetData>
    <row r="1" spans="1:32" s="1" customFormat="1" ht="24" customHeight="1" x14ac:dyDescent="0.3">
      <c r="A1" s="2" t="s">
        <v>81</v>
      </c>
    </row>
    <row r="3" spans="1:32" ht="24" customHeight="1" x14ac:dyDescent="0.2">
      <c r="I3" s="3" t="s">
        <v>100</v>
      </c>
      <c r="J3" s="3" t="s">
        <v>101</v>
      </c>
      <c r="K3" s="3" t="s">
        <v>102</v>
      </c>
      <c r="L3" s="3" t="s">
        <v>103</v>
      </c>
    </row>
    <row r="4" spans="1:32" ht="24" customHeight="1" x14ac:dyDescent="0.2">
      <c r="G4" s="3"/>
      <c r="I4" s="12">
        <v>1</v>
      </c>
      <c r="J4" s="12">
        <v>2</v>
      </c>
      <c r="K4" s="12">
        <v>1</v>
      </c>
      <c r="L4" s="12">
        <v>0</v>
      </c>
      <c r="M4" s="3"/>
      <c r="W4" t="s">
        <v>82</v>
      </c>
      <c r="X4" s="3" t="s">
        <v>83</v>
      </c>
      <c r="Y4" s="3" t="s">
        <v>84</v>
      </c>
      <c r="Z4" s="3" t="s">
        <v>85</v>
      </c>
      <c r="AA4" s="3" t="s">
        <v>86</v>
      </c>
    </row>
    <row r="5" spans="1:32" ht="24" customHeight="1" x14ac:dyDescent="0.2">
      <c r="G5" s="3"/>
      <c r="I5" s="13">
        <v>1</v>
      </c>
      <c r="J5" s="13">
        <v>0</v>
      </c>
      <c r="K5" s="13">
        <v>3</v>
      </c>
      <c r="L5" s="13">
        <v>1</v>
      </c>
      <c r="M5" s="3"/>
      <c r="Q5" s="3"/>
      <c r="R5" s="3"/>
      <c r="X5" s="15" cm="1">
        <f t="array" ref="X5:AA6">_xlfn.ANCHORARRAY(I9)</f>
        <v>2</v>
      </c>
      <c r="Y5" s="15">
        <v>1</v>
      </c>
      <c r="Z5" s="15">
        <v>2</v>
      </c>
      <c r="AA5" s="15">
        <v>3</v>
      </c>
    </row>
    <row r="6" spans="1:32" ht="24" customHeight="1" x14ac:dyDescent="0.2">
      <c r="G6" s="3"/>
      <c r="H6" s="3"/>
      <c r="I6" s="14">
        <v>1</v>
      </c>
      <c r="J6" s="14">
        <v>1</v>
      </c>
      <c r="K6" s="14">
        <v>-1</v>
      </c>
      <c r="L6" s="14">
        <v>2</v>
      </c>
      <c r="M6" s="3"/>
      <c r="Q6" s="3"/>
      <c r="R6" s="3"/>
      <c r="X6" s="16">
        <v>2</v>
      </c>
      <c r="Y6" s="16">
        <v>3</v>
      </c>
      <c r="Z6" s="16">
        <v>0</v>
      </c>
      <c r="AA6" s="16">
        <v>2</v>
      </c>
    </row>
    <row r="7" spans="1:32" ht="24" customHeight="1" x14ac:dyDescent="0.2">
      <c r="G7" s="3"/>
      <c r="H7" s="3"/>
      <c r="M7" s="3"/>
      <c r="Q7" s="3"/>
      <c r="R7" s="3"/>
      <c r="Y7" s="3"/>
      <c r="Z7" s="3"/>
      <c r="AA7" s="3"/>
    </row>
    <row r="8" spans="1:32" ht="24" customHeight="1" x14ac:dyDescent="0.2">
      <c r="E8" t="s">
        <v>104</v>
      </c>
      <c r="G8" s="3"/>
      <c r="H8" s="3"/>
      <c r="I8" s="17" t="s">
        <v>83</v>
      </c>
      <c r="J8" s="17" t="s">
        <v>84</v>
      </c>
      <c r="K8" s="17" t="s">
        <v>85</v>
      </c>
      <c r="L8" s="17" t="s">
        <v>86</v>
      </c>
      <c r="M8" s="3"/>
      <c r="Q8" s="3"/>
      <c r="R8" s="3"/>
      <c r="S8" t="s">
        <v>14</v>
      </c>
      <c r="X8" t="s">
        <v>109</v>
      </c>
      <c r="AC8" t="s">
        <v>108</v>
      </c>
    </row>
    <row r="9" spans="1:32" ht="24" customHeight="1" x14ac:dyDescent="0.2">
      <c r="E9" s="9">
        <v>0</v>
      </c>
      <c r="F9" s="9">
        <v>1</v>
      </c>
      <c r="G9" s="18">
        <v>1</v>
      </c>
      <c r="H9" s="3"/>
      <c r="I9" s="15" cm="1">
        <f t="array" ref="I9:L10">MMULT(E9:G10,I4:L6)</f>
        <v>2</v>
      </c>
      <c r="J9" s="15">
        <v>1</v>
      </c>
      <c r="K9" s="15">
        <v>2</v>
      </c>
      <c r="L9" s="15">
        <v>3</v>
      </c>
      <c r="M9" s="3"/>
      <c r="S9" s="17" t="s">
        <v>87</v>
      </c>
      <c r="T9" s="19" cm="1">
        <f t="array" ref="T9:U12">TRANSPOSE(_xlfn.ANCHORARRAY(I12))</f>
        <v>2</v>
      </c>
      <c r="U9" s="20">
        <v>2</v>
      </c>
      <c r="X9" s="21" cm="1">
        <f t="array" ref="X9:AA12">MMULT(_xlfn.ANCHORARRAY(T9),_xlfn.ANCHORARRAY(X5))/SQRT(2)</f>
        <v>5.6568542494923797</v>
      </c>
      <c r="Y9" s="21">
        <v>5.6568542494923797</v>
      </c>
      <c r="Z9" s="21">
        <v>2.8284271247461898</v>
      </c>
      <c r="AA9" s="21">
        <v>7.0710678118654746</v>
      </c>
      <c r="AC9" s="24" cm="1">
        <f t="array" ref="AC9:AC12">EXP(X9:X12)/SUM(EXP(X9:X12))</f>
        <v>0.16201268683992606</v>
      </c>
      <c r="AD9" s="24" cm="1">
        <f t="array" ref="AD9:AD12">EXP(Y9:Y12)/SUM(EXP(Y9:Y12))</f>
        <v>0.13974804909294825</v>
      </c>
      <c r="AE9" s="24" cm="1">
        <f t="array" ref="AE9:AE12">EXP(Z9:Z12)/SUM(EXP(Z9:Z12))</f>
        <v>0.15732256840871345</v>
      </c>
      <c r="AF9" s="24" cm="1">
        <f t="array" ref="AF9:AF12">EXP(AA9:AA12)/SUM(EXP(AA9:AA12))</f>
        <v>0.10106809618647331</v>
      </c>
    </row>
    <row r="10" spans="1:32" ht="24" customHeight="1" x14ac:dyDescent="0.2">
      <c r="E10" s="9">
        <v>1</v>
      </c>
      <c r="F10" s="9">
        <v>0</v>
      </c>
      <c r="G10" s="18">
        <v>1</v>
      </c>
      <c r="H10" s="3"/>
      <c r="I10" s="16">
        <v>2</v>
      </c>
      <c r="J10" s="16">
        <v>3</v>
      </c>
      <c r="K10" s="16">
        <v>0</v>
      </c>
      <c r="L10" s="16">
        <v>2</v>
      </c>
      <c r="M10" s="3"/>
      <c r="S10" s="17" t="s">
        <v>88</v>
      </c>
      <c r="T10" s="19">
        <v>1</v>
      </c>
      <c r="U10" s="20">
        <v>3</v>
      </c>
      <c r="X10" s="22">
        <v>5.6568542494923797</v>
      </c>
      <c r="Y10" s="22">
        <v>7.0710678118654746</v>
      </c>
      <c r="Z10" s="22">
        <v>1.4142135623730949</v>
      </c>
      <c r="AA10" s="22">
        <v>6.3639610306789276</v>
      </c>
      <c r="AC10" s="25">
        <v>0.16201268683992606</v>
      </c>
      <c r="AD10" s="25">
        <v>0.5748187158657444</v>
      </c>
      <c r="AE10" s="25">
        <v>3.824774908432968E-2</v>
      </c>
      <c r="AF10" s="25">
        <v>4.9833513928472642E-2</v>
      </c>
    </row>
    <row r="11" spans="1:32" ht="24" customHeight="1" x14ac:dyDescent="0.2">
      <c r="E11" t="s">
        <v>105</v>
      </c>
      <c r="G11" s="3"/>
      <c r="H11" s="3"/>
      <c r="I11" s="17" t="s">
        <v>87</v>
      </c>
      <c r="J11" s="17" t="s">
        <v>88</v>
      </c>
      <c r="K11" s="17" t="s">
        <v>89</v>
      </c>
      <c r="L11" s="17" t="s">
        <v>90</v>
      </c>
      <c r="M11" s="3"/>
      <c r="S11" s="17" t="s">
        <v>89</v>
      </c>
      <c r="T11" s="19">
        <v>2</v>
      </c>
      <c r="U11" s="20">
        <v>0</v>
      </c>
      <c r="X11" s="22">
        <v>2.8284271247461898</v>
      </c>
      <c r="Y11" s="22">
        <v>1.4142135623730949</v>
      </c>
      <c r="Z11" s="22">
        <v>2.8284271247461898</v>
      </c>
      <c r="AA11" s="22">
        <v>4.2426406871192848</v>
      </c>
      <c r="AC11" s="25">
        <v>9.5758808081822539E-3</v>
      </c>
      <c r="AD11" s="25">
        <v>2.0081230198925187E-3</v>
      </c>
      <c r="AE11" s="25">
        <v>0.15732256840871345</v>
      </c>
      <c r="AF11" s="25">
        <v>5.9737052786971081E-3</v>
      </c>
    </row>
    <row r="12" spans="1:32" ht="24" customHeight="1" x14ac:dyDescent="0.2">
      <c r="E12" s="9">
        <v>0</v>
      </c>
      <c r="F12" s="9">
        <v>1</v>
      </c>
      <c r="G12" s="18">
        <v>1</v>
      </c>
      <c r="H12" s="3"/>
      <c r="I12" s="15" cm="1">
        <f t="array" ref="I12:L13">MMULT(E12:G13,I4:L6)</f>
        <v>2</v>
      </c>
      <c r="J12" s="15">
        <v>1</v>
      </c>
      <c r="K12" s="15">
        <v>2</v>
      </c>
      <c r="L12" s="15">
        <v>3</v>
      </c>
      <c r="M12" s="3"/>
      <c r="S12" s="17" t="s">
        <v>90</v>
      </c>
      <c r="T12" s="19">
        <v>3</v>
      </c>
      <c r="U12" s="20">
        <v>2</v>
      </c>
      <c r="X12" s="23">
        <v>7.0710678118654746</v>
      </c>
      <c r="Y12" s="23">
        <v>6.3639610306789276</v>
      </c>
      <c r="Z12" s="23">
        <v>4.2426406871192848</v>
      </c>
      <c r="AA12" s="23">
        <v>9.1923881554251174</v>
      </c>
      <c r="AC12" s="26">
        <v>0.66639874551196554</v>
      </c>
      <c r="AD12" s="26">
        <v>0.2834251120214149</v>
      </c>
      <c r="AE12" s="26">
        <v>0.64710711409824351</v>
      </c>
      <c r="AF12" s="26">
        <v>0.84312468460635703</v>
      </c>
    </row>
    <row r="13" spans="1:32" ht="24" customHeight="1" x14ac:dyDescent="0.2">
      <c r="E13" s="9">
        <v>1</v>
      </c>
      <c r="F13" s="9">
        <v>0</v>
      </c>
      <c r="G13" s="18">
        <v>1</v>
      </c>
      <c r="H13" s="3"/>
      <c r="I13" s="16">
        <v>2</v>
      </c>
      <c r="J13" s="16">
        <v>3</v>
      </c>
      <c r="K13" s="16">
        <v>0</v>
      </c>
      <c r="L13" s="16">
        <v>2</v>
      </c>
      <c r="M13" s="3"/>
    </row>
    <row r="14" spans="1:32" ht="24" customHeight="1" x14ac:dyDescent="0.2">
      <c r="E14" t="s">
        <v>106</v>
      </c>
      <c r="G14" s="3"/>
      <c r="H14" s="3"/>
      <c r="I14" s="3" t="s">
        <v>91</v>
      </c>
      <c r="J14" s="3" t="s">
        <v>92</v>
      </c>
      <c r="K14" s="3" t="s">
        <v>93</v>
      </c>
      <c r="L14" s="3" t="s">
        <v>94</v>
      </c>
      <c r="M14" s="3"/>
      <c r="S14" t="s">
        <v>95</v>
      </c>
      <c r="T14" s="3" t="s">
        <v>91</v>
      </c>
      <c r="U14" s="3" t="s">
        <v>92</v>
      </c>
      <c r="V14" s="3" t="s">
        <v>93</v>
      </c>
      <c r="W14" s="3" t="s">
        <v>94</v>
      </c>
      <c r="AC14" t="s">
        <v>107</v>
      </c>
    </row>
    <row r="15" spans="1:32" ht="24" customHeight="1" x14ac:dyDescent="0.2">
      <c r="E15" s="9">
        <v>0</v>
      </c>
      <c r="F15" s="9">
        <v>1</v>
      </c>
      <c r="G15" s="18">
        <v>-1</v>
      </c>
      <c r="H15" s="3"/>
      <c r="I15" s="21" cm="1">
        <f t="array" ref="I15:L17">MMULT(E15:G17,I4:L6)</f>
        <v>0</v>
      </c>
      <c r="J15" s="21">
        <v>-1</v>
      </c>
      <c r="K15" s="21">
        <v>4</v>
      </c>
      <c r="L15" s="21">
        <v>-1</v>
      </c>
      <c r="M15" s="3"/>
      <c r="T15" s="21" cm="1">
        <f t="array" ref="T15:W17">_xlfn.ANCHORARRAY(I15)</f>
        <v>0</v>
      </c>
      <c r="U15" s="21">
        <v>-1</v>
      </c>
      <c r="V15" s="21">
        <v>4</v>
      </c>
      <c r="W15" s="21">
        <v>-1</v>
      </c>
      <c r="AC15" s="27" cm="1">
        <f t="array" ref="AC15:AF17">MMULT(T15:W17,AC9:AF12)</f>
        <v>-0.79010790911916262</v>
      </c>
      <c r="AD15" s="27">
        <v>-0.85021133580758912</v>
      </c>
      <c r="AE15" s="27">
        <v>-5.6064589547719423E-2</v>
      </c>
      <c r="AF15" s="27">
        <v>-0.86906337742004125</v>
      </c>
    </row>
    <row r="16" spans="1:32" ht="24" customHeight="1" x14ac:dyDescent="0.2">
      <c r="E16" s="9">
        <v>1</v>
      </c>
      <c r="F16" s="9">
        <v>0</v>
      </c>
      <c r="G16" s="18">
        <v>0</v>
      </c>
      <c r="H16" s="3"/>
      <c r="I16" s="22">
        <v>1</v>
      </c>
      <c r="J16" s="22">
        <v>2</v>
      </c>
      <c r="K16" s="22">
        <v>1</v>
      </c>
      <c r="L16" s="22">
        <v>0</v>
      </c>
      <c r="M16" s="3"/>
      <c r="T16" s="22">
        <v>1</v>
      </c>
      <c r="U16" s="22">
        <v>2</v>
      </c>
      <c r="V16" s="22">
        <v>1</v>
      </c>
      <c r="W16" s="22">
        <v>0</v>
      </c>
      <c r="AC16" s="28">
        <v>0.49561394132796044</v>
      </c>
      <c r="AD16" s="28">
        <v>1.2913936038443294</v>
      </c>
      <c r="AE16" s="28">
        <v>0.39114063498608626</v>
      </c>
      <c r="AF16" s="28">
        <v>0.20670882932211571</v>
      </c>
    </row>
    <row r="17" spans="1:32" ht="24" customHeight="1" x14ac:dyDescent="0.2">
      <c r="E17" s="9">
        <v>1</v>
      </c>
      <c r="F17" s="9">
        <v>0</v>
      </c>
      <c r="G17" s="18">
        <v>-1</v>
      </c>
      <c r="H17" s="3"/>
      <c r="I17" s="23">
        <v>0</v>
      </c>
      <c r="J17" s="23">
        <v>1</v>
      </c>
      <c r="K17" s="23">
        <v>2</v>
      </c>
      <c r="L17" s="23">
        <v>-2</v>
      </c>
      <c r="M17" s="3"/>
      <c r="T17" s="23">
        <v>0</v>
      </c>
      <c r="U17" s="23">
        <v>1</v>
      </c>
      <c r="V17" s="23">
        <v>2</v>
      </c>
      <c r="W17" s="23">
        <v>-2</v>
      </c>
      <c r="AC17" s="29">
        <v>-1.1516330425676404</v>
      </c>
      <c r="AD17" s="29">
        <v>1.1984737862699602E-2</v>
      </c>
      <c r="AE17" s="29">
        <v>-0.94132134229473041</v>
      </c>
      <c r="AF17" s="29">
        <v>-1.6244684447268471</v>
      </c>
    </row>
    <row r="18" spans="1:32" ht="24" customHeight="1" x14ac:dyDescent="0.2">
      <c r="G18" s="3"/>
      <c r="H18" s="3"/>
      <c r="J18" s="3"/>
      <c r="K18" s="3"/>
      <c r="L18" s="3"/>
      <c r="O18" s="3"/>
      <c r="AC18" s="3" t="s">
        <v>96</v>
      </c>
      <c r="AD18" s="3" t="s">
        <v>97</v>
      </c>
      <c r="AE18" s="3" t="s">
        <v>98</v>
      </c>
      <c r="AF18" s="3" t="s">
        <v>99</v>
      </c>
    </row>
    <row r="21" spans="1:32" s="1" customFormat="1" ht="24" customHeight="1" x14ac:dyDescent="0.3">
      <c r="A21" s="2" t="s">
        <v>18</v>
      </c>
    </row>
    <row r="23" spans="1:32" ht="24" customHeight="1" x14ac:dyDescent="0.2">
      <c r="A23" s="7">
        <v>1</v>
      </c>
      <c r="B23" s="4" t="s">
        <v>19</v>
      </c>
      <c r="D23" s="5"/>
    </row>
    <row r="24" spans="1:32" ht="24" customHeight="1" x14ac:dyDescent="0.2">
      <c r="A24" s="7">
        <v>2</v>
      </c>
      <c r="B24" s="5"/>
      <c r="D24" s="5" t="s">
        <v>20</v>
      </c>
    </row>
    <row r="27" spans="1:32" ht="24" customHeight="1" x14ac:dyDescent="0.2">
      <c r="B27" t="s">
        <v>21</v>
      </c>
      <c r="D27">
        <v>0</v>
      </c>
      <c r="F27">
        <v>1</v>
      </c>
      <c r="H27">
        <v>2</v>
      </c>
      <c r="J27">
        <v>3</v>
      </c>
      <c r="L27">
        <v>4</v>
      </c>
      <c r="N27">
        <v>5</v>
      </c>
      <c r="P27">
        <v>6</v>
      </c>
    </row>
    <row r="29" spans="1:32" ht="24" customHeight="1" x14ac:dyDescent="0.2">
      <c r="C29" t="s">
        <v>14</v>
      </c>
      <c r="D29">
        <v>3</v>
      </c>
      <c r="F29">
        <f>D29</f>
        <v>3</v>
      </c>
      <c r="H29">
        <f>F29</f>
        <v>3</v>
      </c>
      <c r="J29">
        <f>H29</f>
        <v>3</v>
      </c>
      <c r="L29">
        <f>J29</f>
        <v>3</v>
      </c>
      <c r="N29">
        <f>L29</f>
        <v>3</v>
      </c>
      <c r="P29">
        <f>N29</f>
        <v>3</v>
      </c>
    </row>
    <row r="31" spans="1:32" ht="24" customHeight="1" x14ac:dyDescent="0.2">
      <c r="C31" t="s">
        <v>0</v>
      </c>
      <c r="D31">
        <v>0</v>
      </c>
      <c r="F31">
        <v>1</v>
      </c>
      <c r="H31">
        <v>2</v>
      </c>
      <c r="J31">
        <v>3</v>
      </c>
      <c r="L31">
        <v>4</v>
      </c>
      <c r="N31">
        <v>5</v>
      </c>
      <c r="P31">
        <v>5</v>
      </c>
    </row>
    <row r="33" spans="1:16" ht="24" customHeight="1" x14ac:dyDescent="0.2">
      <c r="C33" t="s">
        <v>1</v>
      </c>
      <c r="D33">
        <v>2</v>
      </c>
      <c r="F33" s="9" cm="1">
        <f t="array" ref="F33:F38">_xlfn.LET(_xlpm.X, D33:D38, _xlpm.K, D29, _xlfn.MAKEARRAY(ROWS(_xlpm.X),1,_xlfn.LAMBDA(_xlpm.i,_xlpm.j,_xlfn.LET(_xlpm.xi, INDEX(_xlpm.X,_xlpm.i), IF(_xlpm.i=D31+1,_xlpm.xi+_xlpm.K,_xlpm.xi)))))</f>
        <v>5</v>
      </c>
      <c r="H33" cm="1">
        <f t="array" ref="H33:H38">_xlfn.LET(_xlpm.X, F33:F38, _xlpm.K, F29, _xlfn.MAKEARRAY(ROWS(_xlpm.X),1,_xlfn.LAMBDA(_xlpm.i,_xlpm.j,_xlfn.LET(_xlpm.xi, INDEX(_xlpm.X,_xlpm.i), IF(_xlpm.i=F31+1,_xlpm.xi+_xlpm.K,_xlpm.xi)))))</f>
        <v>5</v>
      </c>
      <c r="J33" cm="1">
        <f t="array" ref="J33:J38">_xlfn.LET(_xlpm.X, H33:H38, _xlpm.K, H29, _xlfn.MAKEARRAY(ROWS(_xlpm.X),1,_xlfn.LAMBDA(_xlpm.i,_xlpm.j,_xlfn.LET(_xlpm.xi, INDEX(_xlpm.X,_xlpm.i), IF(_xlpm.i=H31+1,_xlpm.xi+_xlpm.K,_xlpm.xi)))))</f>
        <v>5</v>
      </c>
      <c r="L33" cm="1">
        <f t="array" ref="L33:L38">_xlfn.LET(_xlpm.X, J33:J38, _xlpm.K, J29, _xlfn.MAKEARRAY(ROWS(_xlpm.X),1,_xlfn.LAMBDA(_xlpm.i,_xlpm.j,_xlfn.LET(_xlpm.xi, INDEX(_xlpm.X,_xlpm.i), IF(_xlpm.i=J31+1,_xlpm.xi+_xlpm.K,_xlpm.xi)))))</f>
        <v>5</v>
      </c>
      <c r="N33" cm="1">
        <f t="array" ref="N33:N38">_xlfn.LET(_xlpm.X, L33:L38, _xlpm.K, L29, _xlfn.MAKEARRAY(ROWS(_xlpm.X),1,_xlfn.LAMBDA(_xlpm.i,_xlpm.j,_xlfn.LET(_xlpm.xi, INDEX(_xlpm.X,_xlpm.i), IF(_xlpm.i=L31+1,_xlpm.xi+_xlpm.K,_xlpm.xi)))))</f>
        <v>5</v>
      </c>
      <c r="P33" cm="1">
        <f t="array" ref="P33:P38">_xlfn.LET(_xlpm.X, N33:N38, _xlpm.K, N29, _xlfn.MAKEARRAY(ROWS(_xlpm.X),1,_xlfn.LAMBDA(_xlpm.i,_xlpm.j,_xlfn.LET(_xlpm.xi, INDEX(_xlpm.X,_xlpm.i), IF(_xlpm.i=N31+1,_xlpm.xi+_xlpm.K,_xlpm.xi)))))</f>
        <v>5</v>
      </c>
    </row>
    <row r="34" spans="1:16" ht="24" customHeight="1" x14ac:dyDescent="0.2">
      <c r="D34">
        <v>4</v>
      </c>
      <c r="F34">
        <v>4</v>
      </c>
      <c r="H34" s="9">
        <v>7</v>
      </c>
      <c r="J34">
        <v>7</v>
      </c>
      <c r="L34">
        <v>7</v>
      </c>
      <c r="N34">
        <v>7</v>
      </c>
      <c r="P34">
        <v>7</v>
      </c>
    </row>
    <row r="35" spans="1:16" ht="24" customHeight="1" x14ac:dyDescent="0.2">
      <c r="D35">
        <v>5</v>
      </c>
      <c r="F35">
        <v>5</v>
      </c>
      <c r="H35">
        <v>5</v>
      </c>
      <c r="J35" s="9">
        <v>8</v>
      </c>
      <c r="L35">
        <v>8</v>
      </c>
      <c r="N35">
        <v>8</v>
      </c>
      <c r="P35">
        <v>8</v>
      </c>
    </row>
    <row r="36" spans="1:16" ht="24" customHeight="1" x14ac:dyDescent="0.2">
      <c r="D36">
        <v>1</v>
      </c>
      <c r="F36">
        <v>1</v>
      </c>
      <c r="H36">
        <v>1</v>
      </c>
      <c r="J36">
        <v>1</v>
      </c>
      <c r="L36" s="9">
        <v>4</v>
      </c>
      <c r="N36">
        <v>4</v>
      </c>
      <c r="P36">
        <v>4</v>
      </c>
    </row>
    <row r="37" spans="1:16" ht="24" customHeight="1" x14ac:dyDescent="0.2">
      <c r="D37">
        <v>2</v>
      </c>
      <c r="F37">
        <v>2</v>
      </c>
      <c r="H37">
        <v>2</v>
      </c>
      <c r="J37">
        <v>2</v>
      </c>
      <c r="L37">
        <v>2</v>
      </c>
      <c r="N37" s="9">
        <v>5</v>
      </c>
      <c r="P37" s="11">
        <v>5</v>
      </c>
    </row>
    <row r="38" spans="1:16" ht="24" customHeight="1" x14ac:dyDescent="0.2">
      <c r="D38">
        <v>3</v>
      </c>
      <c r="F38">
        <v>3</v>
      </c>
      <c r="H38">
        <v>3</v>
      </c>
      <c r="J38">
        <v>3</v>
      </c>
      <c r="L38">
        <v>3</v>
      </c>
      <c r="N38">
        <v>3</v>
      </c>
      <c r="P38" s="9">
        <v>6</v>
      </c>
    </row>
    <row r="40" spans="1:16" s="1" customFormat="1" ht="24" customHeight="1" x14ac:dyDescent="0.3">
      <c r="A40" s="2" t="s">
        <v>22</v>
      </c>
    </row>
    <row r="42" spans="1:16" ht="24" customHeight="1" x14ac:dyDescent="0.2">
      <c r="A42" s="7">
        <v>1</v>
      </c>
      <c r="B42" s="4" t="s">
        <v>23</v>
      </c>
    </row>
    <row r="44" spans="1:16" ht="24" customHeight="1" x14ac:dyDescent="0.2">
      <c r="B44" s="6" t="s">
        <v>21</v>
      </c>
      <c r="C44" s="6"/>
      <c r="D44" s="6">
        <v>0</v>
      </c>
      <c r="E44" s="6"/>
      <c r="F44" s="6">
        <v>1</v>
      </c>
    </row>
    <row r="45" spans="1:16" ht="24" customHeight="1" x14ac:dyDescent="0.2">
      <c r="B45" s="6"/>
      <c r="C45" s="6"/>
      <c r="D45" s="6"/>
      <c r="E45" s="6"/>
      <c r="F45" s="6"/>
    </row>
    <row r="46" spans="1:16" ht="24" customHeight="1" x14ac:dyDescent="0.2">
      <c r="B46" s="6"/>
      <c r="C46" s="6" t="s">
        <v>14</v>
      </c>
      <c r="D46" s="6">
        <v>3</v>
      </c>
      <c r="E46" s="6"/>
      <c r="F46" s="6">
        <v>3</v>
      </c>
    </row>
    <row r="47" spans="1:16" ht="24" customHeight="1" x14ac:dyDescent="0.2">
      <c r="B47" s="6"/>
      <c r="C47" s="6"/>
      <c r="D47" s="6"/>
      <c r="E47" s="6"/>
      <c r="F47" s="6"/>
    </row>
    <row r="48" spans="1:16" ht="24" customHeight="1" x14ac:dyDescent="0.2">
      <c r="B48" s="6"/>
      <c r="C48" s="6" t="s">
        <v>1</v>
      </c>
      <c r="D48" s="6">
        <v>2</v>
      </c>
      <c r="E48" s="6"/>
      <c r="F48" s="10" cm="1">
        <f t="array" ref="F48:F53">D48:D53+D46</f>
        <v>5</v>
      </c>
    </row>
    <row r="49" spans="1:9" ht="24" customHeight="1" x14ac:dyDescent="0.2">
      <c r="B49" s="6"/>
      <c r="C49" s="6"/>
      <c r="D49" s="6">
        <v>4</v>
      </c>
      <c r="E49" s="6"/>
      <c r="F49" s="10">
        <v>7</v>
      </c>
    </row>
    <row r="50" spans="1:9" ht="24" customHeight="1" x14ac:dyDescent="0.2">
      <c r="B50" s="6"/>
      <c r="C50" s="6"/>
      <c r="D50" s="6">
        <v>5</v>
      </c>
      <c r="E50" s="6"/>
      <c r="F50" s="10">
        <v>8</v>
      </c>
    </row>
    <row r="51" spans="1:9" ht="24" customHeight="1" x14ac:dyDescent="0.2">
      <c r="B51" s="6"/>
      <c r="C51" s="6"/>
      <c r="D51" s="6">
        <v>1</v>
      </c>
      <c r="E51" s="6"/>
      <c r="F51" s="10">
        <v>4</v>
      </c>
    </row>
    <row r="52" spans="1:9" ht="24" customHeight="1" x14ac:dyDescent="0.2">
      <c r="B52" s="6"/>
      <c r="C52" s="6"/>
      <c r="D52" s="6">
        <v>2</v>
      </c>
      <c r="E52" s="6"/>
      <c r="F52" s="10">
        <v>5</v>
      </c>
    </row>
    <row r="53" spans="1:9" ht="24" customHeight="1" x14ac:dyDescent="0.2">
      <c r="B53" s="6"/>
      <c r="C53" s="6"/>
      <c r="D53" s="6">
        <v>3</v>
      </c>
      <c r="E53" s="6"/>
      <c r="F53" s="10">
        <v>6</v>
      </c>
    </row>
    <row r="56" spans="1:9" s="1" customFormat="1" ht="24" customHeight="1" x14ac:dyDescent="0.3">
      <c r="A56" s="2" t="s">
        <v>4</v>
      </c>
    </row>
    <row r="59" spans="1:9" ht="24" customHeight="1" x14ac:dyDescent="0.2">
      <c r="D59" t="s">
        <v>14</v>
      </c>
      <c r="E59">
        <v>3</v>
      </c>
      <c r="I59">
        <f>E59</f>
        <v>3</v>
      </c>
    </row>
    <row r="61" spans="1:9" ht="24" customHeight="1" x14ac:dyDescent="0.2">
      <c r="C61" s="3" t="s">
        <v>6</v>
      </c>
      <c r="E61" cm="1">
        <f t="array" ref="E61:E66">D33:D38</f>
        <v>2</v>
      </c>
      <c r="G61" s="3" t="s">
        <v>6</v>
      </c>
      <c r="H61" s="3" t="s">
        <v>5</v>
      </c>
      <c r="I61" s="9" cm="1">
        <f t="array" ref="I61:I66">_xlfn.ANCHORARRAY(E61)+D29</f>
        <v>5</v>
      </c>
    </row>
    <row r="62" spans="1:9" ht="24" customHeight="1" x14ac:dyDescent="0.2">
      <c r="C62" s="3" t="s">
        <v>7</v>
      </c>
      <c r="E62">
        <v>4</v>
      </c>
      <c r="G62" s="3" t="s">
        <v>7</v>
      </c>
      <c r="H62" s="3" t="s">
        <v>12</v>
      </c>
      <c r="I62" s="9">
        <v>7</v>
      </c>
    </row>
    <row r="63" spans="1:9" ht="24" customHeight="1" x14ac:dyDescent="0.2">
      <c r="C63" s="3" t="s">
        <v>8</v>
      </c>
      <c r="E63">
        <v>5</v>
      </c>
      <c r="G63" s="3" t="s">
        <v>8</v>
      </c>
      <c r="H63" s="3" t="s">
        <v>13</v>
      </c>
      <c r="I63" s="9">
        <v>8</v>
      </c>
    </row>
    <row r="64" spans="1:9" ht="24" customHeight="1" x14ac:dyDescent="0.2">
      <c r="C64" s="3" t="s">
        <v>9</v>
      </c>
      <c r="E64">
        <v>1</v>
      </c>
      <c r="G64" s="3" t="s">
        <v>9</v>
      </c>
      <c r="H64" s="3" t="s">
        <v>15</v>
      </c>
      <c r="I64" s="9">
        <v>4</v>
      </c>
    </row>
    <row r="65" spans="1:12" ht="24" customHeight="1" x14ac:dyDescent="0.2">
      <c r="C65" s="3" t="s">
        <v>10</v>
      </c>
      <c r="E65">
        <v>2</v>
      </c>
      <c r="G65" s="3" t="s">
        <v>10</v>
      </c>
      <c r="H65" s="3" t="s">
        <v>16</v>
      </c>
      <c r="I65" s="9">
        <v>5</v>
      </c>
    </row>
    <row r="66" spans="1:12" ht="24" customHeight="1" x14ac:dyDescent="0.2">
      <c r="C66" s="3" t="s">
        <v>11</v>
      </c>
      <c r="E66">
        <v>3</v>
      </c>
      <c r="G66" s="3" t="s">
        <v>11</v>
      </c>
      <c r="H66" s="3" t="s">
        <v>17</v>
      </c>
      <c r="I66" s="9">
        <v>6</v>
      </c>
    </row>
    <row r="68" spans="1:12" s="1" customFormat="1" ht="24" customHeight="1" x14ac:dyDescent="0.3">
      <c r="A68" s="2" t="s">
        <v>3</v>
      </c>
    </row>
    <row r="71" spans="1:12" ht="24" customHeight="1" x14ac:dyDescent="0.2">
      <c r="C71" t="s">
        <v>14</v>
      </c>
      <c r="D71">
        <v>3</v>
      </c>
      <c r="H71">
        <f>D71</f>
        <v>3</v>
      </c>
      <c r="L71">
        <f>H71</f>
        <v>3</v>
      </c>
    </row>
    <row r="73" spans="1:12" ht="24" customHeight="1" x14ac:dyDescent="0.2">
      <c r="B73" s="3" t="s">
        <v>6</v>
      </c>
      <c r="D73" cm="1">
        <f t="array" ref="D73:D78">_xlfn.ANCHORARRAY(E61)</f>
        <v>2</v>
      </c>
      <c r="F73" s="3" t="str" cm="1">
        <f t="array" ref="F73:F75">B73:B75</f>
        <v>T0</v>
      </c>
      <c r="G73" s="3" t="s">
        <v>5</v>
      </c>
      <c r="H73" s="9" cm="1">
        <f t="array" ref="H73:H75">D73:D75+D71</f>
        <v>5</v>
      </c>
      <c r="L73" cm="1">
        <f t="array" ref="L73:L75">_xlfn.ANCHORARRAY(H73)</f>
        <v>5</v>
      </c>
    </row>
    <row r="74" spans="1:12" ht="24" customHeight="1" x14ac:dyDescent="0.2">
      <c r="B74" s="3" t="s">
        <v>7</v>
      </c>
      <c r="D74">
        <v>4</v>
      </c>
      <c r="F74" s="3" t="str">
        <v>T1</v>
      </c>
      <c r="G74" s="3" t="s">
        <v>12</v>
      </c>
      <c r="H74" s="9">
        <v>7</v>
      </c>
      <c r="L74">
        <v>7</v>
      </c>
    </row>
    <row r="75" spans="1:12" ht="24" customHeight="1" x14ac:dyDescent="0.2">
      <c r="B75" s="3" t="s">
        <v>8</v>
      </c>
      <c r="D75">
        <v>5</v>
      </c>
      <c r="F75" s="3" t="str">
        <v>T2</v>
      </c>
      <c r="G75" s="3" t="s">
        <v>13</v>
      </c>
      <c r="H75" s="9">
        <v>8</v>
      </c>
      <c r="L75">
        <v>8</v>
      </c>
    </row>
    <row r="76" spans="1:12" ht="24" customHeight="1" x14ac:dyDescent="0.2">
      <c r="B76" s="3" t="s">
        <v>9</v>
      </c>
      <c r="D76">
        <v>1</v>
      </c>
      <c r="H76" cm="1">
        <f t="array" ref="H76:H78">D76:D78</f>
        <v>1</v>
      </c>
      <c r="J76" s="3" t="str" cm="1">
        <f t="array" ref="J76:J78">B76:B78</f>
        <v>T3</v>
      </c>
      <c r="K76" s="3" t="s">
        <v>5</v>
      </c>
      <c r="L76" s="9" cm="1">
        <f t="array" ref="L76:L78">_xlfn.ANCHORARRAY(H76)+L71</f>
        <v>4</v>
      </c>
    </row>
    <row r="77" spans="1:12" ht="24" customHeight="1" x14ac:dyDescent="0.2">
      <c r="B77" s="3" t="s">
        <v>10</v>
      </c>
      <c r="D77">
        <v>2</v>
      </c>
      <c r="H77">
        <v>2</v>
      </c>
      <c r="J77" s="3" t="str">
        <v>T4</v>
      </c>
      <c r="K77" s="3" t="s">
        <v>12</v>
      </c>
      <c r="L77" s="9">
        <v>5</v>
      </c>
    </row>
    <row r="78" spans="1:12" ht="24" customHeight="1" x14ac:dyDescent="0.2">
      <c r="B78" s="3" t="s">
        <v>11</v>
      </c>
      <c r="D78">
        <v>3</v>
      </c>
      <c r="H78">
        <v>3</v>
      </c>
      <c r="J78" s="3" t="str">
        <v>T5</v>
      </c>
      <c r="K78" s="3" t="s">
        <v>13</v>
      </c>
      <c r="L78" s="9">
        <v>6</v>
      </c>
    </row>
    <row r="81" spans="1:3" s="1" customFormat="1" ht="24" customHeight="1" x14ac:dyDescent="0.3">
      <c r="A81" s="2" t="s">
        <v>34</v>
      </c>
    </row>
    <row r="83" spans="1:3" ht="24" customHeight="1" x14ac:dyDescent="0.2">
      <c r="A83" s="7" cm="1">
        <f t="array" ref="A83:A95">_xlfn.SEQUENCE(13,1)</f>
        <v>1</v>
      </c>
      <c r="B83" s="8" t="s">
        <v>38</v>
      </c>
    </row>
    <row r="84" spans="1:3" ht="24" customHeight="1" x14ac:dyDescent="0.2">
      <c r="A84" s="7">
        <v>2</v>
      </c>
      <c r="B84" s="5" t="s">
        <v>64</v>
      </c>
    </row>
    <row r="85" spans="1:3" ht="24" customHeight="1" x14ac:dyDescent="0.2">
      <c r="A85" s="7">
        <v>3</v>
      </c>
      <c r="C85" s="5" t="s">
        <v>30</v>
      </c>
    </row>
    <row r="86" spans="1:3" ht="24" customHeight="1" x14ac:dyDescent="0.2">
      <c r="A86" s="7">
        <v>4</v>
      </c>
      <c r="C86" s="5"/>
    </row>
    <row r="87" spans="1:3" ht="24" customHeight="1" x14ac:dyDescent="0.2">
      <c r="A87" s="7">
        <v>5</v>
      </c>
      <c r="B87" s="8" t="s">
        <v>25</v>
      </c>
    </row>
    <row r="88" spans="1:3" ht="24" customHeight="1" x14ac:dyDescent="0.2">
      <c r="A88" s="7">
        <v>6</v>
      </c>
      <c r="B88" s="5" t="s">
        <v>26</v>
      </c>
    </row>
    <row r="89" spans="1:3" ht="24" customHeight="1" x14ac:dyDescent="0.2">
      <c r="A89" s="7">
        <v>7</v>
      </c>
      <c r="B89" s="5" t="s">
        <v>63</v>
      </c>
    </row>
    <row r="90" spans="1:3" ht="24" customHeight="1" x14ac:dyDescent="0.2">
      <c r="A90" s="7">
        <v>8</v>
      </c>
      <c r="C90" s="5" t="s">
        <v>36</v>
      </c>
    </row>
    <row r="91" spans="1:3" ht="24" customHeight="1" x14ac:dyDescent="0.2">
      <c r="A91" s="7">
        <v>9</v>
      </c>
      <c r="B91" s="5"/>
    </row>
    <row r="92" spans="1:3" ht="24" customHeight="1" x14ac:dyDescent="0.2">
      <c r="A92" s="7">
        <v>10</v>
      </c>
      <c r="B92" s="8" t="s">
        <v>27</v>
      </c>
    </row>
    <row r="93" spans="1:3" ht="24" customHeight="1" x14ac:dyDescent="0.2">
      <c r="A93" s="7">
        <v>11</v>
      </c>
      <c r="B93" s="5" t="s">
        <v>28</v>
      </c>
    </row>
    <row r="94" spans="1:3" ht="24" customHeight="1" x14ac:dyDescent="0.2">
      <c r="A94" s="7">
        <v>12</v>
      </c>
      <c r="B94" s="5" t="s">
        <v>63</v>
      </c>
    </row>
    <row r="95" spans="1:3" ht="24" customHeight="1" x14ac:dyDescent="0.2">
      <c r="A95" s="7">
        <v>13</v>
      </c>
      <c r="C95" s="5" t="s">
        <v>37</v>
      </c>
    </row>
    <row r="97" spans="1:26" ht="24" customHeight="1" x14ac:dyDescent="0.2">
      <c r="C97" t="s">
        <v>32</v>
      </c>
      <c r="D97">
        <v>1</v>
      </c>
      <c r="L97">
        <v>2</v>
      </c>
      <c r="T97">
        <v>3</v>
      </c>
    </row>
    <row r="99" spans="1:26" ht="24" customHeight="1" x14ac:dyDescent="0.2">
      <c r="C99" t="s">
        <v>21</v>
      </c>
      <c r="D99">
        <v>0</v>
      </c>
      <c r="F99">
        <v>1</v>
      </c>
      <c r="H99">
        <v>2</v>
      </c>
      <c r="J99">
        <v>3</v>
      </c>
      <c r="L99">
        <v>4</v>
      </c>
      <c r="N99">
        <v>5</v>
      </c>
      <c r="P99">
        <v>6</v>
      </c>
      <c r="R99">
        <v>7</v>
      </c>
      <c r="T99">
        <v>8</v>
      </c>
      <c r="V99">
        <v>9</v>
      </c>
      <c r="X99">
        <v>10</v>
      </c>
      <c r="Z99">
        <v>11</v>
      </c>
    </row>
    <row r="101" spans="1:26" ht="24" customHeight="1" x14ac:dyDescent="0.2">
      <c r="C101" t="s">
        <v>1</v>
      </c>
      <c r="D101">
        <v>3</v>
      </c>
      <c r="F101" cm="1">
        <f t="array" ref="F101:F103">D101:D103</f>
        <v>3</v>
      </c>
      <c r="H101" cm="1">
        <f t="array" ref="H101:H104">F101:F104</f>
        <v>3</v>
      </c>
      <c r="J101" cm="1">
        <f t="array" ref="J101:J105">H101:H105</f>
        <v>3</v>
      </c>
      <c r="L101" cm="1">
        <f t="array" ref="L101:L106">J101:J106</f>
        <v>3</v>
      </c>
      <c r="N101" cm="1">
        <f t="array" ref="N101:N106">_xlfn.ANCHORARRAY(L101)</f>
        <v>3</v>
      </c>
      <c r="P101" cm="1">
        <f t="array" ref="P101:P106">_xlfn.ANCHORARRAY(N101)</f>
        <v>3</v>
      </c>
      <c r="R101" cm="1">
        <f t="array" ref="R101:R106">_xlfn.ANCHORARRAY(P101)</f>
        <v>3</v>
      </c>
      <c r="T101" cm="1">
        <f t="array" ref="T101:T107">R101:R107</f>
        <v>3</v>
      </c>
      <c r="V101" cm="1">
        <f t="array" ref="V101:V107">_xlfn.ANCHORARRAY(T101)</f>
        <v>3</v>
      </c>
      <c r="X101" cm="1">
        <f t="array" ref="X101:X108">V101:V108</f>
        <v>3</v>
      </c>
      <c r="Z101" cm="1">
        <f t="array" ref="Z101:Z109">X101:X109</f>
        <v>3</v>
      </c>
    </row>
    <row r="102" spans="1:26" ht="24" customHeight="1" x14ac:dyDescent="0.2">
      <c r="D102">
        <v>2</v>
      </c>
      <c r="F102">
        <v>2</v>
      </c>
      <c r="H102">
        <v>2</v>
      </c>
      <c r="J102">
        <v>2</v>
      </c>
      <c r="L102">
        <v>2</v>
      </c>
      <c r="N102">
        <v>2</v>
      </c>
      <c r="P102">
        <v>2</v>
      </c>
      <c r="R102">
        <v>2</v>
      </c>
      <c r="T102">
        <v>2</v>
      </c>
      <c r="V102">
        <v>2</v>
      </c>
      <c r="X102">
        <v>2</v>
      </c>
      <c r="Z102">
        <v>2</v>
      </c>
    </row>
    <row r="103" spans="1:26" ht="24" customHeight="1" x14ac:dyDescent="0.2">
      <c r="D103">
        <v>2</v>
      </c>
      <c r="F103">
        <v>2</v>
      </c>
      <c r="H103">
        <v>2</v>
      </c>
      <c r="J103">
        <v>2</v>
      </c>
      <c r="L103">
        <v>2</v>
      </c>
      <c r="N103">
        <v>2</v>
      </c>
      <c r="P103">
        <v>2</v>
      </c>
      <c r="R103">
        <v>2</v>
      </c>
      <c r="T103">
        <v>2</v>
      </c>
      <c r="V103">
        <v>2</v>
      </c>
      <c r="X103">
        <v>2</v>
      </c>
      <c r="Z103">
        <v>2</v>
      </c>
    </row>
    <row r="104" spans="1:26" ht="24" customHeight="1" x14ac:dyDescent="0.2">
      <c r="B104" t="s">
        <v>29</v>
      </c>
      <c r="D104" s="9">
        <v>0</v>
      </c>
      <c r="F104" s="9">
        <f>EXP(D101)</f>
        <v>20.085536923187668</v>
      </c>
      <c r="H104">
        <v>20.085536923187668</v>
      </c>
      <c r="J104">
        <v>20.085536923187668</v>
      </c>
      <c r="L104">
        <v>20.085536923187668</v>
      </c>
      <c r="N104">
        <v>20.085536923187668</v>
      </c>
      <c r="P104">
        <v>20.085536923187668</v>
      </c>
      <c r="R104">
        <v>20.085536923187668</v>
      </c>
      <c r="T104">
        <v>20.085536923187668</v>
      </c>
      <c r="V104">
        <v>20.085536923187668</v>
      </c>
      <c r="X104">
        <v>20.085536923187668</v>
      </c>
      <c r="Z104">
        <v>20.085536923187668</v>
      </c>
    </row>
    <row r="105" spans="1:26" ht="24" customHeight="1" x14ac:dyDescent="0.2">
      <c r="D105" s="9">
        <v>0</v>
      </c>
      <c r="F105" cm="1">
        <f t="array" ref="F105:F106">D105:D106</f>
        <v>0</v>
      </c>
      <c r="H105" s="9">
        <f>EXP(D102)</f>
        <v>7.3890560989306504</v>
      </c>
      <c r="J105">
        <v>7.3890560989306504</v>
      </c>
      <c r="L105">
        <v>7.3890560989306504</v>
      </c>
      <c r="N105">
        <v>7.3890560989306504</v>
      </c>
      <c r="P105">
        <v>7.3890560989306504</v>
      </c>
      <c r="R105">
        <v>7.3890560989306504</v>
      </c>
      <c r="T105">
        <v>7.3890560989306504</v>
      </c>
      <c r="V105">
        <v>7.3890560989306504</v>
      </c>
      <c r="X105">
        <v>7.3890560989306504</v>
      </c>
      <c r="Z105">
        <v>7.3890560989306504</v>
      </c>
    </row>
    <row r="106" spans="1:26" ht="24" customHeight="1" x14ac:dyDescent="0.2">
      <c r="D106" s="9">
        <v>0</v>
      </c>
      <c r="F106">
        <v>0</v>
      </c>
      <c r="H106">
        <f>F106</f>
        <v>0</v>
      </c>
      <c r="J106" s="9">
        <f>EXP(H103)</f>
        <v>7.3890560989306504</v>
      </c>
      <c r="L106">
        <v>7.3890560989306504</v>
      </c>
      <c r="N106">
        <v>7.3890560989306504</v>
      </c>
      <c r="P106">
        <v>7.3890560989306504</v>
      </c>
      <c r="R106">
        <v>7.3890560989306504</v>
      </c>
      <c r="T106">
        <v>7.3890560989306504</v>
      </c>
      <c r="V106">
        <v>7.3890560989306504</v>
      </c>
      <c r="X106">
        <v>7.3890560989306504</v>
      </c>
      <c r="Z106">
        <v>7.3890560989306504</v>
      </c>
    </row>
    <row r="107" spans="1:26" ht="24" customHeight="1" x14ac:dyDescent="0.2">
      <c r="B107" t="s">
        <v>31</v>
      </c>
      <c r="L107" s="9">
        <v>0</v>
      </c>
      <c r="N107" s="9">
        <f>L107+L104</f>
        <v>20.085536923187668</v>
      </c>
      <c r="P107" s="9">
        <f>N107+N105</f>
        <v>27.47459302211832</v>
      </c>
      <c r="R107" s="9">
        <f>P107+P106</f>
        <v>34.863649121048972</v>
      </c>
      <c r="T107">
        <v>34.863649121048972</v>
      </c>
      <c r="V107">
        <v>34.863649121048972</v>
      </c>
      <c r="X107">
        <v>34.863649121048972</v>
      </c>
      <c r="Z107">
        <v>34.863649121048972</v>
      </c>
    </row>
    <row r="108" spans="1:26" ht="24" customHeight="1" x14ac:dyDescent="0.2">
      <c r="B108" t="s">
        <v>33</v>
      </c>
      <c r="T108" s="9">
        <v>0</v>
      </c>
      <c r="V108" s="9">
        <f>T104/T107</f>
        <v>0.57611688476582901</v>
      </c>
      <c r="X108">
        <v>0.57611688476582901</v>
      </c>
      <c r="Z108">
        <v>0.57611688476582901</v>
      </c>
    </row>
    <row r="109" spans="1:26" ht="24" customHeight="1" x14ac:dyDescent="0.2">
      <c r="T109" s="9">
        <v>0</v>
      </c>
      <c r="V109" cm="1">
        <f t="array" ref="V109:V110">T109:T110</f>
        <v>0</v>
      </c>
      <c r="X109" s="9">
        <f>T105/T107</f>
        <v>0.21194155761708541</v>
      </c>
      <c r="Z109">
        <v>0.21194155761708541</v>
      </c>
    </row>
    <row r="110" spans="1:26" ht="24" customHeight="1" x14ac:dyDescent="0.2">
      <c r="T110" s="9">
        <v>0</v>
      </c>
      <c r="V110">
        <v>0</v>
      </c>
      <c r="X110">
        <f>V110</f>
        <v>0</v>
      </c>
      <c r="Z110" s="9">
        <f>T106/T107</f>
        <v>0.21194155761708541</v>
      </c>
    </row>
    <row r="112" spans="1:26" s="1" customFormat="1" ht="24" customHeight="1" x14ac:dyDescent="0.3">
      <c r="A112" s="2" t="s">
        <v>35</v>
      </c>
    </row>
    <row r="114" spans="1:10" ht="24" customHeight="1" x14ac:dyDescent="0.2">
      <c r="A114" s="7" cm="1">
        <f t="array" ref="A114:A121">_xlfn.SEQUENCE(8,1)</f>
        <v>1</v>
      </c>
      <c r="B114" s="8" t="s">
        <v>38</v>
      </c>
    </row>
    <row r="115" spans="1:10" ht="24" customHeight="1" x14ac:dyDescent="0.2">
      <c r="A115" s="7">
        <v>2</v>
      </c>
      <c r="B115" s="5" t="s">
        <v>41</v>
      </c>
    </row>
    <row r="116" spans="1:10" ht="24" customHeight="1" x14ac:dyDescent="0.2">
      <c r="A116" s="7">
        <v>3</v>
      </c>
      <c r="C116" s="5"/>
    </row>
    <row r="117" spans="1:10" ht="24" customHeight="1" x14ac:dyDescent="0.2">
      <c r="A117" s="7">
        <v>4</v>
      </c>
      <c r="B117" s="8" t="s">
        <v>25</v>
      </c>
      <c r="C117" s="5"/>
    </row>
    <row r="118" spans="1:10" ht="24" customHeight="1" x14ac:dyDescent="0.2">
      <c r="A118" s="7">
        <v>5</v>
      </c>
      <c r="B118" s="5" t="s">
        <v>39</v>
      </c>
    </row>
    <row r="119" spans="1:10" ht="24" customHeight="1" x14ac:dyDescent="0.2">
      <c r="A119" s="7">
        <v>6</v>
      </c>
    </row>
    <row r="120" spans="1:10" ht="24" customHeight="1" x14ac:dyDescent="0.2">
      <c r="A120" s="7">
        <v>7</v>
      </c>
      <c r="B120" s="8" t="s">
        <v>27</v>
      </c>
    </row>
    <row r="121" spans="1:10" ht="24" customHeight="1" x14ac:dyDescent="0.2">
      <c r="A121" s="7">
        <v>8</v>
      </c>
      <c r="B121" s="5" t="s">
        <v>40</v>
      </c>
      <c r="C121" s="5"/>
    </row>
    <row r="124" spans="1:10" ht="24" customHeight="1" x14ac:dyDescent="0.2">
      <c r="C124" t="s">
        <v>1</v>
      </c>
      <c r="D124">
        <v>3</v>
      </c>
      <c r="F124" cm="1">
        <f t="array" ref="F124:F126">D124:D126</f>
        <v>3</v>
      </c>
      <c r="H124" cm="1">
        <f t="array" ref="H124:H129">F124:F129</f>
        <v>3</v>
      </c>
      <c r="J124" cm="1">
        <f t="array" ref="J124:J130">H124:H130</f>
        <v>3</v>
      </c>
    </row>
    <row r="125" spans="1:10" ht="24" customHeight="1" x14ac:dyDescent="0.2">
      <c r="D125">
        <v>2</v>
      </c>
      <c r="F125">
        <v>2</v>
      </c>
      <c r="H125">
        <v>2</v>
      </c>
      <c r="J125">
        <v>2</v>
      </c>
    </row>
    <row r="126" spans="1:10" ht="24" customHeight="1" x14ac:dyDescent="0.2">
      <c r="D126">
        <v>2</v>
      </c>
      <c r="F126">
        <v>2</v>
      </c>
      <c r="H126">
        <v>2</v>
      </c>
      <c r="J126">
        <v>2</v>
      </c>
    </row>
    <row r="127" spans="1:10" ht="24" customHeight="1" x14ac:dyDescent="0.2">
      <c r="B127" t="s">
        <v>29</v>
      </c>
      <c r="F127" s="9" cm="1">
        <f t="array" ref="F127:F129">EXP(D124:D126)</f>
        <v>20.085536923187668</v>
      </c>
      <c r="H127">
        <v>20.085536923187668</v>
      </c>
      <c r="J127">
        <v>20.085536923187668</v>
      </c>
    </row>
    <row r="128" spans="1:10" ht="24" customHeight="1" x14ac:dyDescent="0.2">
      <c r="F128" s="9">
        <v>7.3890560989306504</v>
      </c>
      <c r="H128">
        <v>7.3890560989306504</v>
      </c>
      <c r="J128">
        <v>7.3890560989306504</v>
      </c>
    </row>
    <row r="129" spans="1:10" ht="24" customHeight="1" x14ac:dyDescent="0.2">
      <c r="F129" s="9">
        <v>7.3890560989306504</v>
      </c>
      <c r="H129">
        <v>7.3890560989306504</v>
      </c>
      <c r="J129">
        <v>7.3890560989306504</v>
      </c>
    </row>
    <row r="130" spans="1:10" ht="24" customHeight="1" x14ac:dyDescent="0.2">
      <c r="B130" t="s">
        <v>31</v>
      </c>
      <c r="H130" s="9">
        <f>SUM(_xlfn.ANCHORARRAY(F127))</f>
        <v>34.863649121048972</v>
      </c>
      <c r="J130">
        <v>34.863649121048972</v>
      </c>
    </row>
    <row r="131" spans="1:10" ht="24" customHeight="1" x14ac:dyDescent="0.2">
      <c r="B131" t="s">
        <v>33</v>
      </c>
      <c r="J131" s="9" cm="1">
        <f t="array" ref="J131:J133">H127:H129/H130</f>
        <v>0.57611688476582901</v>
      </c>
    </row>
    <row r="132" spans="1:10" ht="24" customHeight="1" x14ac:dyDescent="0.2">
      <c r="J132" s="9">
        <v>0.21194155761708541</v>
      </c>
    </row>
    <row r="133" spans="1:10" ht="24" customHeight="1" x14ac:dyDescent="0.2">
      <c r="J133" s="9">
        <v>0.21194155761708541</v>
      </c>
    </row>
    <row r="136" spans="1:10" s="1" customFormat="1" ht="24" customHeight="1" x14ac:dyDescent="0.3">
      <c r="A136" s="2" t="s">
        <v>50</v>
      </c>
    </row>
    <row r="139" spans="1:10" ht="24" customHeight="1" x14ac:dyDescent="0.2">
      <c r="A139" s="7" cm="1">
        <f t="array" ref="A139:A147">_xlfn.SEQUENCE(9,1)</f>
        <v>1</v>
      </c>
      <c r="B139" s="5" t="s">
        <v>43</v>
      </c>
    </row>
    <row r="140" spans="1:10" ht="24" customHeight="1" x14ac:dyDescent="0.2">
      <c r="A140" s="7">
        <v>2</v>
      </c>
      <c r="C140" s="5" t="s">
        <v>41</v>
      </c>
    </row>
    <row r="141" spans="1:10" ht="24" customHeight="1" x14ac:dyDescent="0.2">
      <c r="A141" s="7">
        <v>3</v>
      </c>
      <c r="C141" s="5" t="s">
        <v>39</v>
      </c>
    </row>
    <row r="142" spans="1:10" ht="24" customHeight="1" x14ac:dyDescent="0.2">
      <c r="A142" s="7">
        <v>4</v>
      </c>
      <c r="C142" s="5" t="s">
        <v>42</v>
      </c>
    </row>
    <row r="143" spans="1:10" ht="24" customHeight="1" x14ac:dyDescent="0.2">
      <c r="A143" s="7">
        <v>5</v>
      </c>
    </row>
    <row r="144" spans="1:10" ht="24" customHeight="1" x14ac:dyDescent="0.2">
      <c r="A144" s="7">
        <v>6</v>
      </c>
      <c r="B144" s="5" t="s">
        <v>44</v>
      </c>
      <c r="C144" s="5"/>
    </row>
    <row r="145" spans="1:10" ht="24" customHeight="1" x14ac:dyDescent="0.2">
      <c r="A145" s="7">
        <v>7</v>
      </c>
      <c r="B145" s="5" t="s">
        <v>48</v>
      </c>
      <c r="C145" s="5"/>
    </row>
    <row r="146" spans="1:10" ht="24" customHeight="1" x14ac:dyDescent="0.2">
      <c r="A146" s="7">
        <v>8</v>
      </c>
      <c r="B146" s="5"/>
      <c r="C146" s="5" t="s">
        <v>45</v>
      </c>
    </row>
    <row r="147" spans="1:10" ht="24" customHeight="1" x14ac:dyDescent="0.2">
      <c r="A147" s="7">
        <v>9</v>
      </c>
      <c r="B147" s="5"/>
      <c r="C147" s="5" t="s">
        <v>46</v>
      </c>
    </row>
    <row r="150" spans="1:10" ht="24" customHeight="1" x14ac:dyDescent="0.2">
      <c r="B150" t="s">
        <v>21</v>
      </c>
      <c r="D150">
        <v>0</v>
      </c>
      <c r="F150">
        <v>1</v>
      </c>
      <c r="H150">
        <v>2</v>
      </c>
      <c r="J150">
        <v>3</v>
      </c>
    </row>
    <row r="152" spans="1:10" ht="24" customHeight="1" x14ac:dyDescent="0.2">
      <c r="A152" t="s">
        <v>47</v>
      </c>
      <c r="C152">
        <v>0</v>
      </c>
      <c r="D152">
        <v>3</v>
      </c>
      <c r="F152" cm="1">
        <f t="array" ref="F152:F160">D152:D160</f>
        <v>3</v>
      </c>
      <c r="H152" cm="1">
        <f t="array" ref="H152:H163">F152:F163</f>
        <v>3</v>
      </c>
      <c r="J152" cm="1">
        <f t="array" ref="J152:J166">H152:H166</f>
        <v>3</v>
      </c>
    </row>
    <row r="153" spans="1:10" ht="24" customHeight="1" x14ac:dyDescent="0.2">
      <c r="D153">
        <v>2</v>
      </c>
      <c r="F153">
        <v>2</v>
      </c>
      <c r="H153">
        <v>2</v>
      </c>
      <c r="J153">
        <v>2</v>
      </c>
    </row>
    <row r="154" spans="1:10" ht="24" customHeight="1" x14ac:dyDescent="0.2">
      <c r="D154">
        <v>2</v>
      </c>
      <c r="F154">
        <v>2</v>
      </c>
      <c r="H154">
        <v>2</v>
      </c>
      <c r="J154">
        <v>2</v>
      </c>
    </row>
    <row r="155" spans="1:10" ht="24" customHeight="1" x14ac:dyDescent="0.2">
      <c r="C155">
        <v>1</v>
      </c>
      <c r="D155">
        <v>1</v>
      </c>
      <c r="F155">
        <v>1</v>
      </c>
      <c r="H155">
        <v>1</v>
      </c>
      <c r="J155">
        <v>1</v>
      </c>
    </row>
    <row r="156" spans="1:10" ht="24" customHeight="1" x14ac:dyDescent="0.2">
      <c r="D156">
        <v>1</v>
      </c>
      <c r="F156">
        <v>1</v>
      </c>
      <c r="H156">
        <v>1</v>
      </c>
      <c r="J156">
        <v>1</v>
      </c>
    </row>
    <row r="157" spans="1:10" ht="24" customHeight="1" x14ac:dyDescent="0.2">
      <c r="D157">
        <v>3</v>
      </c>
      <c r="F157">
        <v>3</v>
      </c>
      <c r="H157">
        <v>3</v>
      </c>
      <c r="J157">
        <v>3</v>
      </c>
    </row>
    <row r="158" spans="1:10" ht="24" customHeight="1" x14ac:dyDescent="0.2">
      <c r="C158">
        <v>2</v>
      </c>
      <c r="D158">
        <v>0</v>
      </c>
      <c r="F158">
        <v>0</v>
      </c>
      <c r="H158">
        <v>0</v>
      </c>
      <c r="J158">
        <v>0</v>
      </c>
    </row>
    <row r="159" spans="1:10" ht="24" customHeight="1" x14ac:dyDescent="0.2">
      <c r="D159">
        <v>1</v>
      </c>
      <c r="F159">
        <v>1</v>
      </c>
      <c r="H159">
        <v>1</v>
      </c>
      <c r="J159">
        <v>1</v>
      </c>
    </row>
    <row r="160" spans="1:10" ht="24" customHeight="1" x14ac:dyDescent="0.2">
      <c r="D160">
        <v>2</v>
      </c>
      <c r="F160">
        <v>2</v>
      </c>
      <c r="H160">
        <v>2</v>
      </c>
      <c r="J160">
        <v>2</v>
      </c>
    </row>
    <row r="161" spans="1:10" ht="24" customHeight="1" x14ac:dyDescent="0.2">
      <c r="A161" t="s">
        <v>49</v>
      </c>
      <c r="F161" s="9" cm="1">
        <f t="array" ref="F161:F163">_xlfn.LET(_xlpm.X,D152:D154, EXP(_xlpm.X)/SUM(EXP(_xlpm.X)))</f>
        <v>0.57611688476582901</v>
      </c>
      <c r="H161">
        <v>0.57611688476582901</v>
      </c>
      <c r="J161">
        <v>0.57611688476582901</v>
      </c>
    </row>
    <row r="162" spans="1:10" ht="24" customHeight="1" x14ac:dyDescent="0.2">
      <c r="F162" s="9">
        <v>0.21194155761708541</v>
      </c>
      <c r="H162">
        <v>0.21194155761708541</v>
      </c>
      <c r="J162">
        <v>0.21194155761708541</v>
      </c>
    </row>
    <row r="163" spans="1:10" ht="24" customHeight="1" x14ac:dyDescent="0.2">
      <c r="F163" s="9">
        <v>0.21194155761708541</v>
      </c>
      <c r="H163">
        <v>0.21194155761708541</v>
      </c>
      <c r="J163">
        <v>0.21194155761708541</v>
      </c>
    </row>
    <row r="164" spans="1:10" ht="24" customHeight="1" x14ac:dyDescent="0.2">
      <c r="H164" s="9" cm="1">
        <f t="array" ref="H164:H166">_xlfn.LET(_xlpm.X,D155:D157, EXP(_xlpm.X)/SUM(EXP(_xlpm.X)))</f>
        <v>0.10650697891920075</v>
      </c>
      <c r="J164">
        <v>0.10650697891920075</v>
      </c>
    </row>
    <row r="165" spans="1:10" ht="24" customHeight="1" x14ac:dyDescent="0.2">
      <c r="H165" s="9">
        <v>0.10650697891920075</v>
      </c>
      <c r="J165">
        <v>0.10650697891920075</v>
      </c>
    </row>
    <row r="166" spans="1:10" ht="24" customHeight="1" x14ac:dyDescent="0.2">
      <c r="H166" s="9">
        <v>0.78698604216159851</v>
      </c>
      <c r="J166">
        <v>0.78698604216159851</v>
      </c>
    </row>
    <row r="167" spans="1:10" ht="24" customHeight="1" x14ac:dyDescent="0.2">
      <c r="J167" s="9" cm="1">
        <f t="array" ref="J167:J169">_xlfn.LET(_xlpm.X,D158:D160, EXP(_xlpm.X)/SUM(EXP(_xlpm.X)))</f>
        <v>9.0030573170380462E-2</v>
      </c>
    </row>
    <row r="168" spans="1:10" ht="24" customHeight="1" x14ac:dyDescent="0.2">
      <c r="J168" s="9">
        <v>0.24472847105479764</v>
      </c>
    </row>
    <row r="169" spans="1:10" ht="24" customHeight="1" x14ac:dyDescent="0.2">
      <c r="J169" s="9">
        <v>0.6652409557748219</v>
      </c>
    </row>
    <row r="171" spans="1:10" s="1" customFormat="1" ht="24" customHeight="1" x14ac:dyDescent="0.3">
      <c r="A171" s="2" t="s">
        <v>51</v>
      </c>
    </row>
    <row r="173" spans="1:10" ht="24" customHeight="1" x14ac:dyDescent="0.2">
      <c r="A173" s="7" cm="1">
        <f t="array" ref="A173:A175">_xlfn.SEQUENCE(3,1)</f>
        <v>1</v>
      </c>
      <c r="B173" s="5" t="s">
        <v>62</v>
      </c>
    </row>
    <row r="174" spans="1:10" ht="24" customHeight="1" x14ac:dyDescent="0.2">
      <c r="A174" s="7">
        <v>2</v>
      </c>
      <c r="C174" s="5"/>
    </row>
    <row r="175" spans="1:10" ht="24" customHeight="1" x14ac:dyDescent="0.2">
      <c r="A175" s="7">
        <v>3</v>
      </c>
      <c r="B175" s="5" t="s">
        <v>52</v>
      </c>
      <c r="C175" s="5"/>
    </row>
    <row r="176" spans="1:10" ht="24" customHeight="1" x14ac:dyDescent="0.2">
      <c r="C176" s="5"/>
    </row>
    <row r="177" spans="1:6" ht="24" customHeight="1" x14ac:dyDescent="0.2">
      <c r="B177" t="s">
        <v>21</v>
      </c>
      <c r="D177">
        <v>0</v>
      </c>
      <c r="F177">
        <v>1</v>
      </c>
    </row>
    <row r="179" spans="1:6" ht="24" customHeight="1" x14ac:dyDescent="0.2">
      <c r="A179" t="s">
        <v>47</v>
      </c>
      <c r="C179">
        <v>0</v>
      </c>
      <c r="D179">
        <v>3</v>
      </c>
      <c r="F179" cm="1">
        <f t="array" ref="F179:F187">D179:D187</f>
        <v>3</v>
      </c>
    </row>
    <row r="180" spans="1:6" ht="24" customHeight="1" x14ac:dyDescent="0.2">
      <c r="D180">
        <v>2</v>
      </c>
      <c r="F180">
        <v>2</v>
      </c>
    </row>
    <row r="181" spans="1:6" ht="24" customHeight="1" x14ac:dyDescent="0.2">
      <c r="D181">
        <v>2</v>
      </c>
      <c r="F181">
        <v>2</v>
      </c>
    </row>
    <row r="182" spans="1:6" ht="24" customHeight="1" x14ac:dyDescent="0.2">
      <c r="C182">
        <v>1</v>
      </c>
      <c r="D182">
        <v>1</v>
      </c>
      <c r="F182">
        <v>1</v>
      </c>
    </row>
    <row r="183" spans="1:6" ht="24" customHeight="1" x14ac:dyDescent="0.2">
      <c r="D183">
        <v>1</v>
      </c>
      <c r="F183">
        <v>1</v>
      </c>
    </row>
    <row r="184" spans="1:6" ht="24" customHeight="1" x14ac:dyDescent="0.2">
      <c r="D184">
        <v>3</v>
      </c>
      <c r="F184">
        <v>3</v>
      </c>
    </row>
    <row r="185" spans="1:6" ht="24" customHeight="1" x14ac:dyDescent="0.2">
      <c r="C185">
        <v>2</v>
      </c>
      <c r="D185">
        <v>0</v>
      </c>
      <c r="F185">
        <v>0</v>
      </c>
    </row>
    <row r="186" spans="1:6" ht="24" customHeight="1" x14ac:dyDescent="0.2">
      <c r="D186">
        <v>1</v>
      </c>
      <c r="F186">
        <v>1</v>
      </c>
    </row>
    <row r="187" spans="1:6" ht="24" customHeight="1" x14ac:dyDescent="0.2">
      <c r="D187">
        <v>2</v>
      </c>
      <c r="F187">
        <v>2</v>
      </c>
    </row>
    <row r="188" spans="1:6" ht="24" customHeight="1" x14ac:dyDescent="0.2">
      <c r="A188" t="s">
        <v>49</v>
      </c>
      <c r="E188" t="s">
        <v>53</v>
      </c>
      <c r="F188" s="9" cm="1">
        <f t="array" ref="F188:F190">_xlfn.LET(_xlpm.X,D179:D181, EXP(_xlpm.X)/SUM(EXP(_xlpm.X)))</f>
        <v>0.57611688476582901</v>
      </c>
    </row>
    <row r="189" spans="1:6" ht="24" customHeight="1" x14ac:dyDescent="0.2">
      <c r="E189" t="s">
        <v>54</v>
      </c>
      <c r="F189" s="9">
        <v>0.21194155761708541</v>
      </c>
    </row>
    <row r="190" spans="1:6" ht="24" customHeight="1" x14ac:dyDescent="0.2">
      <c r="E190" t="s">
        <v>55</v>
      </c>
      <c r="F190" s="9">
        <v>0.21194155761708541</v>
      </c>
    </row>
    <row r="191" spans="1:6" ht="24" customHeight="1" x14ac:dyDescent="0.2">
      <c r="E191" t="s">
        <v>56</v>
      </c>
      <c r="F191" s="9" cm="1">
        <f t="array" ref="F191:F193">_xlfn.LET(_xlpm.X,D182:D184, EXP(_xlpm.X)/SUM(EXP(_xlpm.X)))</f>
        <v>0.10650697891920075</v>
      </c>
    </row>
    <row r="192" spans="1:6" ht="24" customHeight="1" x14ac:dyDescent="0.2">
      <c r="E192" t="s">
        <v>57</v>
      </c>
      <c r="F192" s="9">
        <v>0.10650697891920075</v>
      </c>
    </row>
    <row r="193" spans="1:9" ht="24" customHeight="1" x14ac:dyDescent="0.2">
      <c r="E193" t="s">
        <v>58</v>
      </c>
      <c r="F193" s="9">
        <v>0.78698604216159851</v>
      </c>
    </row>
    <row r="194" spans="1:9" ht="24" customHeight="1" x14ac:dyDescent="0.2">
      <c r="E194" t="s">
        <v>59</v>
      </c>
      <c r="F194" s="9" cm="1">
        <f t="array" ref="F194:F196">_xlfn.LET(_xlpm.X,D185:D187, EXP(_xlpm.X)/SUM(EXP(_xlpm.X)))</f>
        <v>9.0030573170380462E-2</v>
      </c>
    </row>
    <row r="195" spans="1:9" ht="24" customHeight="1" x14ac:dyDescent="0.2">
      <c r="E195" t="s">
        <v>60</v>
      </c>
      <c r="F195" s="9">
        <v>0.24472847105479764</v>
      </c>
    </row>
    <row r="196" spans="1:9" ht="24" customHeight="1" x14ac:dyDescent="0.2">
      <c r="E196" t="s">
        <v>61</v>
      </c>
      <c r="F196" s="9">
        <v>0.6652409557748219</v>
      </c>
    </row>
    <row r="200" spans="1:9" ht="24" customHeight="1" x14ac:dyDescent="0.2">
      <c r="G200" t="s">
        <v>69</v>
      </c>
      <c r="H200" t="s">
        <v>70</v>
      </c>
      <c r="I200" t="s">
        <v>71</v>
      </c>
    </row>
    <row r="201" spans="1:9" ht="24" customHeight="1" x14ac:dyDescent="0.2">
      <c r="G201">
        <v>3</v>
      </c>
      <c r="H201">
        <v>5</v>
      </c>
      <c r="I201">
        <v>1</v>
      </c>
    </row>
    <row r="202" spans="1:9" ht="24" customHeight="1" x14ac:dyDescent="0.2">
      <c r="G202">
        <v>2</v>
      </c>
      <c r="H202">
        <v>4</v>
      </c>
      <c r="I202">
        <v>3</v>
      </c>
    </row>
    <row r="204" spans="1:9" ht="24" customHeight="1" x14ac:dyDescent="0.2">
      <c r="C204" t="s">
        <v>67</v>
      </c>
      <c r="D204">
        <v>2</v>
      </c>
      <c r="E204">
        <v>3</v>
      </c>
      <c r="G204" cm="1">
        <f t="array" ref="G204:I206">MMULT(D204:E206,G201:I202)</f>
        <v>12</v>
      </c>
      <c r="H204">
        <v>22</v>
      </c>
      <c r="I204">
        <v>11</v>
      </c>
    </row>
    <row r="205" spans="1:9" ht="24" customHeight="1" x14ac:dyDescent="0.2">
      <c r="C205" t="s">
        <v>66</v>
      </c>
      <c r="D205">
        <v>1</v>
      </c>
      <c r="E205">
        <v>2</v>
      </c>
      <c r="G205">
        <v>7</v>
      </c>
      <c r="H205">
        <v>13</v>
      </c>
      <c r="I205">
        <v>7</v>
      </c>
    </row>
    <row r="206" spans="1:9" ht="24" customHeight="1" x14ac:dyDescent="0.2">
      <c r="C206" t="s">
        <v>68</v>
      </c>
      <c r="D206">
        <v>5</v>
      </c>
      <c r="E206">
        <v>4</v>
      </c>
      <c r="G206">
        <v>23</v>
      </c>
      <c r="H206">
        <v>41</v>
      </c>
      <c r="I206">
        <v>17</v>
      </c>
    </row>
    <row r="208" spans="1:9" s="1" customFormat="1" ht="24" customHeight="1" x14ac:dyDescent="0.3">
      <c r="A208" s="2" t="s">
        <v>80</v>
      </c>
    </row>
    <row r="210" spans="1:11" ht="24" customHeight="1" x14ac:dyDescent="0.2">
      <c r="A210" s="7" cm="1">
        <f t="array" ref="A210:A212">_xlfn.SEQUENCE(3,1)</f>
        <v>1</v>
      </c>
      <c r="B210" s="5" t="s">
        <v>77</v>
      </c>
    </row>
    <row r="211" spans="1:11" ht="24" customHeight="1" x14ac:dyDescent="0.2">
      <c r="A211" s="7">
        <v>2</v>
      </c>
      <c r="B211" s="5" t="s">
        <v>78</v>
      </c>
    </row>
    <row r="212" spans="1:11" ht="24" customHeight="1" x14ac:dyDescent="0.2">
      <c r="A212" s="7">
        <v>3</v>
      </c>
      <c r="B212" s="5" t="s">
        <v>79</v>
      </c>
    </row>
    <row r="213" spans="1:11" ht="24" customHeight="1" x14ac:dyDescent="0.2">
      <c r="A213" s="5"/>
      <c r="B213" s="5"/>
    </row>
    <row r="214" spans="1:11" ht="24" customHeight="1" x14ac:dyDescent="0.2">
      <c r="C214" t="s">
        <v>21</v>
      </c>
      <c r="E214">
        <v>0</v>
      </c>
      <c r="G214">
        <v>1</v>
      </c>
      <c r="I214">
        <v>2</v>
      </c>
      <c r="K214">
        <v>3</v>
      </c>
    </row>
    <row r="216" spans="1:11" ht="24" customHeight="1" x14ac:dyDescent="0.2">
      <c r="C216" t="s">
        <v>65</v>
      </c>
      <c r="D216">
        <v>0</v>
      </c>
      <c r="E216" cm="1">
        <f t="array" ref="E216:E221">_xlfn.TOCOL(D204:E206)</f>
        <v>2</v>
      </c>
      <c r="G216" cm="1">
        <f t="array" ref="G216:G227">E216:E227</f>
        <v>2</v>
      </c>
      <c r="I216" cm="1">
        <f t="array" ref="I216:I228">G216:G228</f>
        <v>2</v>
      </c>
      <c r="K216" cm="1">
        <f t="array" ref="K216:K229">I216:I229</f>
        <v>2</v>
      </c>
    </row>
    <row r="217" spans="1:11" ht="24" customHeight="1" x14ac:dyDescent="0.2">
      <c r="E217">
        <v>3</v>
      </c>
      <c r="G217">
        <v>3</v>
      </c>
      <c r="I217">
        <v>3</v>
      </c>
      <c r="K217">
        <v>3</v>
      </c>
    </row>
    <row r="218" spans="1:11" ht="24" customHeight="1" x14ac:dyDescent="0.2">
      <c r="D218">
        <v>1</v>
      </c>
      <c r="E218">
        <v>1</v>
      </c>
      <c r="G218">
        <v>1</v>
      </c>
      <c r="I218">
        <v>1</v>
      </c>
      <c r="K218">
        <v>1</v>
      </c>
    </row>
    <row r="219" spans="1:11" ht="24" customHeight="1" x14ac:dyDescent="0.2">
      <c r="E219">
        <v>2</v>
      </c>
      <c r="G219">
        <v>2</v>
      </c>
      <c r="I219">
        <v>2</v>
      </c>
      <c r="K219">
        <v>2</v>
      </c>
    </row>
    <row r="220" spans="1:11" ht="24" customHeight="1" x14ac:dyDescent="0.2">
      <c r="D220">
        <v>2</v>
      </c>
      <c r="E220">
        <v>5</v>
      </c>
      <c r="G220">
        <v>5</v>
      </c>
      <c r="I220">
        <v>5</v>
      </c>
      <c r="K220">
        <v>5</v>
      </c>
    </row>
    <row r="221" spans="1:11" ht="24" customHeight="1" x14ac:dyDescent="0.2">
      <c r="E221">
        <v>4</v>
      </c>
      <c r="G221">
        <v>4</v>
      </c>
      <c r="I221">
        <v>4</v>
      </c>
      <c r="K221">
        <v>4</v>
      </c>
    </row>
    <row r="222" spans="1:11" ht="24" customHeight="1" x14ac:dyDescent="0.2">
      <c r="C222" t="s">
        <v>24</v>
      </c>
      <c r="D222">
        <v>0</v>
      </c>
      <c r="E222" cm="1">
        <f t="array" ref="E222:E227">_xlfn.TOCOL(G201:I202,,TRUE)</f>
        <v>3</v>
      </c>
      <c r="G222">
        <v>3</v>
      </c>
      <c r="I222">
        <v>3</v>
      </c>
      <c r="K222">
        <v>3</v>
      </c>
    </row>
    <row r="223" spans="1:11" ht="24" customHeight="1" x14ac:dyDescent="0.2">
      <c r="E223">
        <v>2</v>
      </c>
      <c r="G223">
        <v>2</v>
      </c>
      <c r="I223">
        <v>2</v>
      </c>
      <c r="K223">
        <v>2</v>
      </c>
    </row>
    <row r="224" spans="1:11" ht="24" customHeight="1" x14ac:dyDescent="0.2">
      <c r="D224">
        <v>1</v>
      </c>
      <c r="E224">
        <v>5</v>
      </c>
      <c r="G224">
        <v>5</v>
      </c>
      <c r="I224">
        <v>5</v>
      </c>
      <c r="K224">
        <v>5</v>
      </c>
    </row>
    <row r="225" spans="1:11" ht="24" customHeight="1" x14ac:dyDescent="0.2">
      <c r="E225">
        <v>4</v>
      </c>
      <c r="G225">
        <v>4</v>
      </c>
      <c r="I225">
        <v>4</v>
      </c>
      <c r="K225">
        <v>4</v>
      </c>
    </row>
    <row r="226" spans="1:11" ht="24" customHeight="1" x14ac:dyDescent="0.2">
      <c r="D226">
        <v>2</v>
      </c>
      <c r="E226">
        <v>1</v>
      </c>
      <c r="G226">
        <v>1</v>
      </c>
      <c r="I226">
        <v>1</v>
      </c>
      <c r="K226">
        <v>1</v>
      </c>
    </row>
    <row r="227" spans="1:11" ht="24" customHeight="1" x14ac:dyDescent="0.2">
      <c r="E227">
        <v>3</v>
      </c>
      <c r="G227">
        <v>3</v>
      </c>
      <c r="I227">
        <v>3</v>
      </c>
      <c r="K227">
        <v>3</v>
      </c>
    </row>
    <row r="228" spans="1:11" ht="24" customHeight="1" x14ac:dyDescent="0.2">
      <c r="D228" t="s">
        <v>2</v>
      </c>
      <c r="G228" s="9">
        <f>SUMPRODUCT(E216:E217,E222:E223)</f>
        <v>12</v>
      </c>
      <c r="I228">
        <v>12</v>
      </c>
      <c r="K228">
        <v>12</v>
      </c>
    </row>
    <row r="229" spans="1:11" ht="24" customHeight="1" x14ac:dyDescent="0.2">
      <c r="I229" s="9">
        <f>SUMPRODUCT(G216:G217,G224:G225)</f>
        <v>22</v>
      </c>
      <c r="K229">
        <v>22</v>
      </c>
    </row>
    <row r="230" spans="1:11" ht="24" customHeight="1" x14ac:dyDescent="0.2">
      <c r="K230" s="9">
        <f>SUMPRODUCT(I216:I217,I226:I227)</f>
        <v>11</v>
      </c>
    </row>
    <row r="233" spans="1:11" s="1" customFormat="1" ht="24" customHeight="1" x14ac:dyDescent="0.3">
      <c r="A233" s="2" t="s">
        <v>76</v>
      </c>
    </row>
    <row r="235" spans="1:11" ht="24" customHeight="1" x14ac:dyDescent="0.2">
      <c r="A235" s="7" cm="1">
        <f t="array" ref="A235:A240">_xlfn.SEQUENCE(6,1)</f>
        <v>1</v>
      </c>
      <c r="B235" s="5" t="s">
        <v>72</v>
      </c>
    </row>
    <row r="236" spans="1:11" ht="24" customHeight="1" x14ac:dyDescent="0.2">
      <c r="A236" s="7">
        <v>2</v>
      </c>
      <c r="B236" s="5" t="s">
        <v>75</v>
      </c>
    </row>
    <row r="237" spans="1:11" ht="24" customHeight="1" x14ac:dyDescent="0.2">
      <c r="A237" s="7">
        <v>3</v>
      </c>
      <c r="B237" s="5" t="s">
        <v>110</v>
      </c>
    </row>
    <row r="238" spans="1:11" ht="24" customHeight="1" x14ac:dyDescent="0.2">
      <c r="A238" s="7">
        <v>4</v>
      </c>
      <c r="B238" s="5"/>
    </row>
    <row r="239" spans="1:11" ht="24" customHeight="1" x14ac:dyDescent="0.2">
      <c r="A239" s="7">
        <v>5</v>
      </c>
      <c r="B239" s="5" t="s">
        <v>73</v>
      </c>
    </row>
    <row r="240" spans="1:11" ht="24" customHeight="1" x14ac:dyDescent="0.2">
      <c r="A240" s="7">
        <v>6</v>
      </c>
      <c r="B240" s="5" t="s">
        <v>74</v>
      </c>
    </row>
    <row r="242" spans="3:11" ht="24" customHeight="1" x14ac:dyDescent="0.2">
      <c r="C242" t="s">
        <v>21</v>
      </c>
      <c r="E242">
        <v>0</v>
      </c>
      <c r="G242">
        <v>1</v>
      </c>
      <c r="I242">
        <v>2</v>
      </c>
      <c r="K242">
        <v>3</v>
      </c>
    </row>
    <row r="244" spans="3:11" ht="24" customHeight="1" x14ac:dyDescent="0.2">
      <c r="C244" t="s">
        <v>65</v>
      </c>
      <c r="D244">
        <v>0</v>
      </c>
      <c r="E244">
        <v>2</v>
      </c>
      <c r="G244" cm="1">
        <f t="array" ref="G244:G255">E244:E255</f>
        <v>2</v>
      </c>
      <c r="I244" cm="1">
        <f t="array" ref="I244:I255">G244:G255</f>
        <v>2</v>
      </c>
      <c r="K244" cm="1">
        <f t="array" ref="K244:K255">I244:I255</f>
        <v>2</v>
      </c>
    </row>
    <row r="245" spans="3:11" ht="24" customHeight="1" x14ac:dyDescent="0.2">
      <c r="E245">
        <v>3</v>
      </c>
      <c r="G245">
        <v>3</v>
      </c>
      <c r="I245">
        <v>3</v>
      </c>
      <c r="K245">
        <v>3</v>
      </c>
    </row>
    <row r="246" spans="3:11" ht="24" customHeight="1" x14ac:dyDescent="0.2">
      <c r="D246">
        <v>1</v>
      </c>
      <c r="E246">
        <v>1</v>
      </c>
      <c r="G246">
        <v>1</v>
      </c>
      <c r="I246">
        <v>1</v>
      </c>
      <c r="K246">
        <v>1</v>
      </c>
    </row>
    <row r="247" spans="3:11" ht="24" customHeight="1" x14ac:dyDescent="0.2">
      <c r="E247">
        <v>2</v>
      </c>
      <c r="G247">
        <v>2</v>
      </c>
      <c r="I247">
        <v>2</v>
      </c>
      <c r="K247">
        <v>2</v>
      </c>
    </row>
    <row r="248" spans="3:11" ht="24" customHeight="1" x14ac:dyDescent="0.2">
      <c r="D248">
        <v>2</v>
      </c>
      <c r="E248">
        <v>5</v>
      </c>
      <c r="G248">
        <v>5</v>
      </c>
      <c r="I248">
        <v>5</v>
      </c>
      <c r="K248">
        <v>5</v>
      </c>
    </row>
    <row r="249" spans="3:11" ht="24" customHeight="1" x14ac:dyDescent="0.2">
      <c r="E249">
        <v>4</v>
      </c>
      <c r="G249">
        <v>4</v>
      </c>
      <c r="I249">
        <v>4</v>
      </c>
      <c r="K249">
        <v>4</v>
      </c>
    </row>
    <row r="250" spans="3:11" ht="24" customHeight="1" x14ac:dyDescent="0.2">
      <c r="C250" t="s">
        <v>24</v>
      </c>
      <c r="D250">
        <v>0</v>
      </c>
      <c r="E250">
        <v>3</v>
      </c>
      <c r="G250">
        <v>3</v>
      </c>
      <c r="I250">
        <v>3</v>
      </c>
      <c r="K250">
        <v>3</v>
      </c>
    </row>
    <row r="251" spans="3:11" ht="24" customHeight="1" x14ac:dyDescent="0.2">
      <c r="E251">
        <v>2</v>
      </c>
      <c r="G251">
        <v>2</v>
      </c>
      <c r="I251">
        <v>2</v>
      </c>
      <c r="K251">
        <v>2</v>
      </c>
    </row>
    <row r="252" spans="3:11" ht="24" customHeight="1" x14ac:dyDescent="0.2">
      <c r="D252">
        <v>1</v>
      </c>
      <c r="E252">
        <v>5</v>
      </c>
      <c r="G252">
        <v>5</v>
      </c>
      <c r="I252">
        <v>5</v>
      </c>
      <c r="K252">
        <v>5</v>
      </c>
    </row>
    <row r="253" spans="3:11" ht="24" customHeight="1" x14ac:dyDescent="0.2">
      <c r="E253">
        <v>4</v>
      </c>
      <c r="G253">
        <v>4</v>
      </c>
      <c r="I253">
        <v>4</v>
      </c>
      <c r="K253">
        <v>4</v>
      </c>
    </row>
    <row r="254" spans="3:11" ht="24" customHeight="1" x14ac:dyDescent="0.2">
      <c r="D254">
        <v>2</v>
      </c>
      <c r="E254">
        <v>1</v>
      </c>
      <c r="G254">
        <v>1</v>
      </c>
      <c r="I254">
        <v>1</v>
      </c>
      <c r="K254">
        <v>1</v>
      </c>
    </row>
    <row r="255" spans="3:11" ht="24" customHeight="1" x14ac:dyDescent="0.2">
      <c r="E255">
        <v>3</v>
      </c>
      <c r="G255">
        <v>3</v>
      </c>
      <c r="I255">
        <v>3</v>
      </c>
      <c r="K255">
        <v>3</v>
      </c>
    </row>
    <row r="256" spans="3:11" ht="24" customHeight="1" x14ac:dyDescent="0.2">
      <c r="D256" t="s">
        <v>2</v>
      </c>
      <c r="G256" s="9">
        <f>SUMPRODUCT(E244:E245,E250:E251)</f>
        <v>12</v>
      </c>
    </row>
    <row r="257" spans="7:11" ht="24" customHeight="1" x14ac:dyDescent="0.2">
      <c r="G257" s="9">
        <f>SUMPRODUCT(E244:E245,E252:E253)</f>
        <v>22</v>
      </c>
    </row>
    <row r="258" spans="7:11" ht="24" customHeight="1" x14ac:dyDescent="0.2">
      <c r="G258" s="9">
        <f>SUMPRODUCT(E244:E245,E254:E255)</f>
        <v>11</v>
      </c>
    </row>
    <row r="259" spans="7:11" ht="24" customHeight="1" x14ac:dyDescent="0.2">
      <c r="I259" s="9">
        <f>SUMPRODUCT(G246:G247,G250:G251)</f>
        <v>7</v>
      </c>
    </row>
    <row r="260" spans="7:11" ht="24" customHeight="1" x14ac:dyDescent="0.2">
      <c r="I260" s="9">
        <f>SUMPRODUCT(G246:G247,G252:G253)</f>
        <v>13</v>
      </c>
    </row>
    <row r="261" spans="7:11" ht="24" customHeight="1" x14ac:dyDescent="0.2">
      <c r="I261" s="9">
        <f>SUMPRODUCT(G246:G247,G254:G255)</f>
        <v>7</v>
      </c>
    </row>
    <row r="262" spans="7:11" ht="24" customHeight="1" x14ac:dyDescent="0.2">
      <c r="K262" s="9">
        <f>SUMPRODUCT(I248:I249,I250:I251)</f>
        <v>23</v>
      </c>
    </row>
    <row r="263" spans="7:11" ht="24" customHeight="1" x14ac:dyDescent="0.2">
      <c r="K263" s="9">
        <f>SUMPRODUCT(I248:I249,I252:I253)</f>
        <v>41</v>
      </c>
    </row>
    <row r="264" spans="7:11" ht="24" customHeight="1" x14ac:dyDescent="0.2">
      <c r="K264" s="9">
        <f>SUMPRODUCT(I248:I249,I254:I255)</f>
        <v>17</v>
      </c>
    </row>
  </sheetData>
  <conditionalFormatting sqref="X9:X1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{52345DA7-CAB8-AB43-8DB5-1A473174759E}</x14:id>
        </ext>
      </extLst>
    </cfRule>
  </conditionalFormatting>
  <conditionalFormatting sqref="Y9:Y1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{63BAFCC6-C9CD-574D-85A7-21B71C795887}</x14:id>
        </ext>
      </extLst>
    </cfRule>
  </conditionalFormatting>
  <conditionalFormatting sqref="Z9:Z12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{4921A1CA-CB94-7649-B2AD-CB7C28CF150C}</x14:id>
        </ext>
      </extLst>
    </cfRule>
  </conditionalFormatting>
  <conditionalFormatting sqref="AA9:AA12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{E7FDDAAD-8C9F-A547-A541-475772904D8F}</x14:id>
        </ext>
      </extLst>
    </cfRule>
  </conditionalFormatting>
  <conditionalFormatting sqref="AC9:AF12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{2A4F1A46-CC5B-174D-ADF9-48E70518C518}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345DA7-CAB8-AB43-8DB5-1A473174759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X9:X12</xm:sqref>
        </x14:conditionalFormatting>
        <x14:conditionalFormatting xmlns:xm="http://schemas.microsoft.com/office/excel/2006/main">
          <x14:cfRule type="dataBar" id="{63BAFCC6-C9CD-574D-85A7-21B71C79588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Y9:Y12</xm:sqref>
        </x14:conditionalFormatting>
        <x14:conditionalFormatting xmlns:xm="http://schemas.microsoft.com/office/excel/2006/main">
          <x14:cfRule type="dataBar" id="{4921A1CA-CB94-7649-B2AD-CB7C28CF150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Z9:Z12</xm:sqref>
        </x14:conditionalFormatting>
        <x14:conditionalFormatting xmlns:xm="http://schemas.microsoft.com/office/excel/2006/main">
          <x14:cfRule type="dataBar" id="{E7FDDAAD-8C9F-A547-A541-475772904D8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AA9:AA12</xm:sqref>
        </x14:conditionalFormatting>
        <x14:conditionalFormatting xmlns:xm="http://schemas.microsoft.com/office/excel/2006/main">
          <x14:cfRule type="dataBar" id="{2A4F1A46-CC5B-174D-ADF9-48E70518C5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AC9:AF12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CD1E3B10FD647B2C00F8D5CAE40C5" ma:contentTypeVersion="29" ma:contentTypeDescription="Create a new document." ma:contentTypeScope="" ma:versionID="5ae1002b84da2e0cdc6cefba5629065c">
  <xsd:schema xmlns:xsd="http://www.w3.org/2001/XMLSchema" xmlns:xs="http://www.w3.org/2001/XMLSchema" xmlns:p="http://schemas.microsoft.com/office/2006/metadata/properties" xmlns:ns2="53292dda-03c3-4977-bff8-bb8e9ba9cad7" xmlns:ns3="c866c9ed-2f7a-4860-bf57-8153ff3a210a" targetNamespace="http://schemas.microsoft.com/office/2006/metadata/properties" ma:root="true" ma:fieldsID="5165f4bd19b4b66600da1cc23aa1ddf4" ns2:_="" ns3:_="">
    <xsd:import namespace="53292dda-03c3-4977-bff8-bb8e9ba9cad7"/>
    <xsd:import namespace="c866c9ed-2f7a-4860-bf57-8153ff3a210a"/>
    <xsd:element name="properties">
      <xsd:complexType>
        <xsd:sequence>
          <xsd:element name="documentManagement">
            <xsd:complexType>
              <xsd:all>
                <xsd:element ref="ns2:PageCount" minOccurs="0"/>
                <xsd:element ref="ns2:AssetStage" minOccurs="0"/>
                <xsd:element ref="ns2:DaysAllocated" minOccurs="0"/>
                <xsd:element ref="ns2:Priority" minOccurs="0"/>
                <xsd:element ref="ns2:Proces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sset_x0020_Number" minOccurs="0"/>
                <xsd:element ref="ns2:Asset_x0020_Type" minOccurs="0"/>
                <xsd:element ref="ns2:Category" minOccurs="0"/>
                <xsd:element ref="ns2:Early_x0020_Access" minOccurs="0"/>
                <xsd:element ref="ns2:Plagiarism_x0020_Originality" minOccurs="0"/>
                <xsd:element ref="ns2:TR_x0020_Score" minOccurs="0"/>
                <xsd:element ref="ns2:Notes0" minOccurs="0"/>
                <xsd:element ref="ns2:Reviewer" minOccurs="0"/>
                <xsd:element ref="ns2:TR_x0020_Name_x0020_1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SafisComment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292dda-03c3-4977-bff8-bb8e9ba9cad7" elementFormDefault="qualified">
    <xsd:import namespace="http://schemas.microsoft.com/office/2006/documentManagement/types"/>
    <xsd:import namespace="http://schemas.microsoft.com/office/infopath/2007/PartnerControls"/>
    <xsd:element name="PageCount" ma:index="8" nillable="true" ma:displayName="Page Count" ma:decimals="0" ma:format="Dropdown" ma:internalName="PageCount" ma:percentage="FALSE">
      <xsd:simpleType>
        <xsd:restriction base="dms:Number"/>
      </xsd:simpleType>
    </xsd:element>
    <xsd:element name="AssetStage" ma:index="9" nillable="true" ma:displayName="Asset Stage" ma:format="Dropdown" ma:internalName="AssetStage">
      <xsd:simpleType>
        <xsd:union memberTypes="dms:Text">
          <xsd:simpleType>
            <xsd:restriction base="dms:Choice">
              <xsd:enumeration value="Preliminary Draft In"/>
              <xsd:enumeration value="1st Preliminary Draft Revision"/>
              <xsd:enumeration value="1st Revision Submission"/>
              <xsd:enumeration value="2nd Preliminary Draft Revision"/>
              <xsd:enumeration value="2nd Revision Submission"/>
              <xsd:enumeration value="3rd Preliminary Draft Revision"/>
              <xsd:enumeration value="3rd Revision Submission"/>
              <xsd:enumeration value="Preliminary Draft Acceptance"/>
              <xsd:enumeration value="Draft Ready for Review"/>
              <xsd:enumeration value="Technical Review Sent"/>
              <xsd:enumeration value="Technical Review Received"/>
              <xsd:enumeration value="Rewrites Ready"/>
              <xsd:enumeration value="Rewrites Sent"/>
              <xsd:enumeration value="Final Draft Submission"/>
              <xsd:enumeration value="Final Draft Revision"/>
              <xsd:enumeration value="Final Draft Revision Received"/>
              <xsd:enumeration value="Final Draft Acceptance"/>
              <xsd:enumeration value="Technical Editing"/>
              <xsd:enumeration value="Copy Edit Submission"/>
              <xsd:enumeration value="Copy Editing Done"/>
              <xsd:enumeration value="Placed for Indexing"/>
              <xsd:enumeration value="Indexed"/>
              <xsd:enumeration value="Layouts"/>
              <xsd:enumeration value="Proof Read Submission"/>
              <xsd:enumeration value="Proof Reading Done"/>
              <xsd:enumeration value="PR - Checks"/>
              <xsd:enumeration value="Prefinals Ready"/>
              <xsd:enumeration value="Prefinals Sent"/>
              <xsd:enumeration value="Prefinals Received"/>
              <xsd:enumeration value="Final Review"/>
              <xsd:enumeration value="Finals Completed"/>
              <xsd:enumeration value="​Indexer Finalization"/>
              <xsd:enumeration value="​Editor Finalization"/>
              <xsd:enumeration value="​Production Designer Finalization"/>
              <xsd:enumeration value="Porfolio Director - Checks"/>
              <xsd:enumeration value="​Upload"/>
              <xsd:enumeration value="​Graphics and Code Bundle Complete"/>
              <xsd:enumeration value="​Post Upload"/>
              <xsd:enumeration value="​Published"/>
            </xsd:restriction>
          </xsd:simpleType>
        </xsd:union>
      </xsd:simpleType>
    </xsd:element>
    <xsd:element name="DaysAllocated" ma:index="10" nillable="true" ma:displayName="Days Allocated" ma:decimals="0" ma:default="1" ma:format="Dropdown" ma:internalName="DaysAllocated" ma:percentage="FALSE">
      <xsd:simpleType>
        <xsd:restriction base="dms:Number"/>
      </xsd:simpleType>
    </xsd:element>
    <xsd:element name="Priority" ma:index="11" nillable="true" ma:displayName="Priority" ma:default="0" ma:internalName="Priority">
      <xsd:simpleType>
        <xsd:restriction base="dms:Boolean"/>
      </xsd:simpleType>
    </xsd:element>
    <xsd:element name="Process" ma:index="12" nillable="true" ma:displayName="Process" ma:default="CE" ma:format="Dropdown" ma:internalName="Process">
      <xsd:simpleType>
        <xsd:restriction base="dms:Choice">
          <xsd:enumeration value="CE"/>
          <xsd:enumeration value="LSE"/>
          <xsd:enumeration value="DCE"/>
          <xsd:enumeration value="WPR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sset_x0020_Number" ma:index="17" nillable="true" ma:displayName="Asset Number" ma:description="This is the asset number of the project and no asset type should have same numbers" ma:format="Dropdown" ma:internalName="Asset_x0020_Number">
      <xsd:simpleType>
        <xsd:union memberTypes="dms:Text">
          <xsd:simpleType>
            <xsd:restriction base="dms:Choice">
              <xsd:enumeration value="1"/>
              <xsd:enumeration value="2"/>
              <xsd:enumeration value="3"/>
              <xsd:enumeration value="4"/>
              <xsd:enumeration value="5"/>
              <xsd:enumeration value="6"/>
              <xsd:enumeration value="7"/>
              <xsd:enumeration value="8"/>
              <xsd:enumeration value="9"/>
              <xsd:enumeration value="10"/>
              <xsd:enumeration value="11"/>
              <xsd:enumeration value="12"/>
              <xsd:enumeration value="13"/>
              <xsd:enumeration value="14"/>
              <xsd:enumeration value="15"/>
              <xsd:enumeration value="16"/>
              <xsd:enumeration value="17"/>
              <xsd:enumeration value="18"/>
              <xsd:enumeration value="19"/>
              <xsd:enumeration value="20"/>
              <xsd:enumeration value="21"/>
              <xsd:enumeration value="22"/>
              <xsd:enumeration value="23"/>
              <xsd:enumeration value="24"/>
              <xsd:enumeration value="25"/>
              <xsd:enumeration value="26"/>
              <xsd:enumeration value="27"/>
              <xsd:enumeration value="28"/>
              <xsd:enumeration value="29"/>
              <xsd:enumeration value="30"/>
              <xsd:enumeration value="31"/>
              <xsd:enumeration value="32"/>
              <xsd:enumeration value="33"/>
              <xsd:enumeration value="34"/>
              <xsd:enumeration value="35"/>
              <xsd:enumeration value="36"/>
              <xsd:enumeration value="37"/>
              <xsd:enumeration value="38"/>
              <xsd:enumeration value="39"/>
              <xsd:enumeration value="40"/>
            </xsd:restriction>
          </xsd:simpleType>
        </xsd:union>
      </xsd:simpleType>
    </xsd:element>
    <xsd:element name="Asset_x0020_Type" ma:index="18" nillable="true" ma:displayName="Asset Type" ma:description="This is the type of Asset related to the product development" ma:format="Dropdown" ma:internalName="Asset_x0020_Type">
      <xsd:simpleType>
        <xsd:restriction base="dms:Choice">
          <xsd:enumeration value="Chapter"/>
          <xsd:enumeration value="Video"/>
          <xsd:enumeration value="Index"/>
          <xsd:enumeration value="Front Matter"/>
          <xsd:enumeration value="Back Matter"/>
          <xsd:enumeration value="Code"/>
          <xsd:enumeration value="Book"/>
          <xsd:enumeration value="Graphic"/>
          <xsd:enumeration value="Other"/>
        </xsd:restriction>
      </xsd:simpleType>
    </xsd:element>
    <xsd:element name="Category" ma:index="19" nillable="true" ma:displayName="Category" ma:format="Dropdown" ma:internalName="Category">
      <xsd:simpleType>
        <xsd:restriction base="dms:Choice">
          <xsd:enumeration value="Cybersecurity"/>
          <xsd:enumeration value="Data Engineering"/>
          <xsd:enumeration value="Data Science"/>
          <xsd:enumeration value="Embedded Systems Development"/>
          <xsd:enumeration value="Game Development"/>
          <xsd:enumeration value="LLM Engineering"/>
          <xsd:enumeration value="Software Engineering and Architecture"/>
          <xsd:enumeration value="Systems Administration and Networking"/>
          <xsd:enumeration value="Tech Powered Pro"/>
          <xsd:enumeration value="Web &amp; Application Development"/>
        </xsd:restriction>
      </xsd:simpleType>
    </xsd:element>
    <xsd:element name="Early_x0020_Access" ma:index="20" nillable="true" ma:displayName="Early Access" ma:default="0" ma:description="This is an option which you select when you want the chapter to be a part of the Early Access" ma:internalName="Early_x0020_Access">
      <xsd:simpleType>
        <xsd:restriction base="dms:Boolean"/>
      </xsd:simpleType>
    </xsd:element>
    <xsd:element name="Plagiarism_x0020_Originality" ma:index="21" nillable="true" ma:displayName="Plagiarism Originality" ma:description="This is a column to fill the plagiarism originality scores" ma:internalName="Plagiarism_x0020_Originality">
      <xsd:simpleType>
        <xsd:restriction base="dms:Number"/>
      </xsd:simpleType>
    </xsd:element>
    <xsd:element name="TR_x0020_Score" ma:index="22" nillable="true" ma:displayName="TR Score" ma:decimals="1" ma:internalName="TR_x0020_Score">
      <xsd:simpleType>
        <xsd:restriction base="dms:Number">
          <xsd:maxInclusive value="10"/>
          <xsd:minInclusive value="1"/>
        </xsd:restriction>
      </xsd:simpleType>
    </xsd:element>
    <xsd:element name="Notes0" ma:index="23" nillable="true" ma:displayName="Notes" ma:internalName="Notes0">
      <xsd:simpleType>
        <xsd:restriction base="dms:Text">
          <xsd:maxLength value="255"/>
        </xsd:restriction>
      </xsd:simpleType>
    </xsd:element>
    <xsd:element name="Reviewer" ma:index="24" nillable="true" ma:displayName="Reviewer" ma:format="Dropdown" ma:internalName="Reviewer">
      <xsd:simpleType>
        <xsd:restriction base="dms:Text">
          <xsd:maxLength value="255"/>
        </xsd:restriction>
      </xsd:simpleType>
    </xsd:element>
    <xsd:element name="TR_x0020_Name_x0020_1" ma:index="25" nillable="true" ma:displayName="TR Name 1" ma:description="&quot;attack&quot; in &quot;Compressor&quot; bullet point&#10;&#10;I am keeping this highlighted so that I can explain what Attack (technical sound term) means in the Glossary." ma:internalName="TR_x0020_Name_x0020_1">
      <xsd:simpleType>
        <xsd:restriction base="dms:Note">
          <xsd:maxLength value="255"/>
        </xsd:restriction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33" nillable="true" ma:displayName="Location" ma:description="" ma:indexed="true" ma:internalName="MediaServiceLocation" ma:readOnly="true">
      <xsd:simpleType>
        <xsd:restriction base="dms:Text"/>
      </xsd:simpleType>
    </xsd:element>
    <xsd:element name="SafisComment" ma:index="34" nillable="true" ma:displayName="Safis Comment" ma:format="Dropdown" ma:internalName="SafisComment">
      <xsd:simpleType>
        <xsd:restriction base="dms:Choice">
          <xsd:enumeration value="Same Day TAT"/>
          <xsd:enumeration value="One Day TAT"/>
        </xsd:restriction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3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6c9ed-2f7a-4860-bf57-8153ff3a210a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b0b99e7b-2d5c-4d76-8978-e279b984ef45}" ma:internalName="TaxCatchAll" ma:showField="CatchAllData" ma:web="c866c9ed-2f7a-4860-bf57-8153ff3a21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afisComment xmlns="53292dda-03c3-4977-bff8-bb8e9ba9cad7" xsi:nil="true"/>
    <TaxCatchAll xmlns="c866c9ed-2f7a-4860-bf57-8153ff3a210a" xsi:nil="true"/>
    <PageCount xmlns="53292dda-03c3-4977-bff8-bb8e9ba9cad7" xsi:nil="true"/>
    <Notes0 xmlns="53292dda-03c3-4977-bff8-bb8e9ba9cad7" xsi:nil="true"/>
    <Early_x0020_Access xmlns="53292dda-03c3-4977-bff8-bb8e9ba9cad7">false</Early_x0020_Access>
    <TR_x0020_Name_x0020_1 xmlns="53292dda-03c3-4977-bff8-bb8e9ba9cad7" xsi:nil="true"/>
    <Reviewer xmlns="53292dda-03c3-4977-bff8-bb8e9ba9cad7" xsi:nil="true"/>
    <DaysAllocated xmlns="53292dda-03c3-4977-bff8-bb8e9ba9cad7">1</DaysAllocated>
    <Priority xmlns="53292dda-03c3-4977-bff8-bb8e9ba9cad7">false</Priority>
    <TR_x0020_Score xmlns="53292dda-03c3-4977-bff8-bb8e9ba9cad7" xsi:nil="true"/>
    <lcf76f155ced4ddcb4097134ff3c332f xmlns="53292dda-03c3-4977-bff8-bb8e9ba9cad7">
      <Terms xmlns="http://schemas.microsoft.com/office/infopath/2007/PartnerControls"/>
    </lcf76f155ced4ddcb4097134ff3c332f>
    <Asset_x0020_Number xmlns="53292dda-03c3-4977-bff8-bb8e9ba9cad7" xsi:nil="true"/>
    <Plagiarism_x0020_Originality xmlns="53292dda-03c3-4977-bff8-bb8e9ba9cad7" xsi:nil="true"/>
    <AssetStage xmlns="53292dda-03c3-4977-bff8-bb8e9ba9cad7" xsi:nil="true"/>
    <Process xmlns="53292dda-03c3-4977-bff8-bb8e9ba9cad7">CE</Process>
    <Asset_x0020_Type xmlns="53292dda-03c3-4977-bff8-bb8e9ba9cad7" xsi:nil="true"/>
    <Category xmlns="53292dda-03c3-4977-bff8-bb8e9ba9cad7" xsi:nil="true"/>
  </documentManagement>
</p:properties>
</file>

<file path=customXml/itemProps1.xml><?xml version="1.0" encoding="utf-8"?>
<ds:datastoreItem xmlns:ds="http://schemas.openxmlformats.org/officeDocument/2006/customXml" ds:itemID="{2C1C58A6-2DB7-4012-BA37-4026C9ECC913}"/>
</file>

<file path=customXml/itemProps2.xml><?xml version="1.0" encoding="utf-8"?>
<ds:datastoreItem xmlns:ds="http://schemas.openxmlformats.org/officeDocument/2006/customXml" ds:itemID="{0102D859-B72B-4531-B143-09BEEEB0649E}"/>
</file>

<file path=customXml/itemProps3.xml><?xml version="1.0" encoding="utf-8"?>
<ds:datastoreItem xmlns:ds="http://schemas.openxmlformats.org/officeDocument/2006/customXml" ds:itemID="{79B3A145-3B96-4849-8E9B-51076CE3D814}"/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Yeh</dc:creator>
  <cp:lastModifiedBy>Tom Yeh</cp:lastModifiedBy>
  <dcterms:created xsi:type="dcterms:W3CDTF">2025-07-08T11:21:37Z</dcterms:created>
  <dcterms:modified xsi:type="dcterms:W3CDTF">2025-07-08T13:53:44Z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0x010100F28CD1E3B10FD647B2C00F8D5CAE40C5</vt:lpwstr>
  </property>
</Properties>
</file>